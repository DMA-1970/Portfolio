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e77f8217ba0847e/Masters/Module 3/Assignment 1/Submission/"/>
    </mc:Choice>
  </mc:AlternateContent>
  <xr:revisionPtr revIDLastSave="0" documentId="8_{7230773D-47FB-48C8-A5DA-0285BD49A80A}" xr6:coauthVersionLast="47" xr6:coauthVersionMax="47" xr10:uidLastSave="{00000000-0000-0000-0000-000000000000}"/>
  <bookViews>
    <workbookView xWindow="-120" yWindow="-120" windowWidth="38640" windowHeight="15720" activeTab="5" xr2:uid="{00000000-000D-0000-FFFF-FFFF00000000}"/>
  </bookViews>
  <sheets>
    <sheet name="Assets" sheetId="1" r:id="rId1"/>
    <sheet name="Vulnerabilities" sheetId="2" r:id="rId2"/>
    <sheet name="Compliance" sheetId="3" r:id="rId3"/>
    <sheet name="Incidents" sheetId="4" r:id="rId4"/>
    <sheet name="Users" sheetId="5" r:id="rId5"/>
    <sheet name="Service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5" l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<sst xmlns="http://schemas.openxmlformats.org/spreadsheetml/2006/main" count="796" uniqueCount="508">
  <si>
    <t>Asset ID</t>
  </si>
  <si>
    <t>Asset Type</t>
  </si>
  <si>
    <t>Location</t>
  </si>
  <si>
    <t>Status</t>
  </si>
  <si>
    <t>Vulnerability ID</t>
  </si>
  <si>
    <t>Vulnerability Type</t>
  </si>
  <si>
    <t>Severity</t>
  </si>
  <si>
    <t>Description</t>
  </si>
  <si>
    <t>Discovery Date</t>
  </si>
  <si>
    <t>Remediation Target Date</t>
  </si>
  <si>
    <t>Assigned To</t>
  </si>
  <si>
    <t>Compliance ID</t>
  </si>
  <si>
    <t>Regulation / Standard</t>
  </si>
  <si>
    <t>Control Description</t>
  </si>
  <si>
    <t>Compliance Status</t>
  </si>
  <si>
    <t>Last Audit Date</t>
  </si>
  <si>
    <t>Assigned Compliance Officer</t>
  </si>
  <si>
    <t>Compliance Notes / Evidence</t>
  </si>
  <si>
    <t>Incident ID</t>
  </si>
  <si>
    <t>Incident Type</t>
  </si>
  <si>
    <t>Severity Level</t>
  </si>
  <si>
    <t>Incident Description</t>
  </si>
  <si>
    <t>Date of Incident</t>
  </si>
  <si>
    <t>Resolution Date</t>
  </si>
  <si>
    <t>Root Cause / Resolution Notes</t>
  </si>
  <si>
    <t>User ID</t>
  </si>
  <si>
    <t>Username</t>
  </si>
  <si>
    <t>Department / Role</t>
  </si>
  <si>
    <t>Contact Information</t>
  </si>
  <si>
    <t>Access Level</t>
  </si>
  <si>
    <t>Account Status</t>
  </si>
  <si>
    <t>Service ID</t>
  </si>
  <si>
    <t>Service Name</t>
  </si>
  <si>
    <t>Service Description</t>
  </si>
  <si>
    <t>Service Owner</t>
  </si>
  <si>
    <t>SLA Details</t>
  </si>
  <si>
    <t>Criticality Level</t>
  </si>
  <si>
    <t>Asset Tag</t>
  </si>
  <si>
    <t xml:space="preserve">Serial Number </t>
  </si>
  <si>
    <t>Manufacturer</t>
  </si>
  <si>
    <t>Model</t>
  </si>
  <si>
    <t xml:space="preserve">Purchase Date </t>
  </si>
  <si>
    <t>Warranty Expiration</t>
  </si>
  <si>
    <t>Owner</t>
  </si>
  <si>
    <t>Azure-Firewall01</t>
  </si>
  <si>
    <t>Azure-AD-Server01</t>
  </si>
  <si>
    <t>Azure-SQL-DB01</t>
  </si>
  <si>
    <t>Azure-Web-Server</t>
  </si>
  <si>
    <t>Azure-Dev-Server</t>
  </si>
  <si>
    <t>Azure-Backup-01</t>
  </si>
  <si>
    <t>Azure-Email-Server</t>
  </si>
  <si>
    <t>Azure-Endpoint-01</t>
  </si>
  <si>
    <t>Azure-Endpoint-02</t>
  </si>
  <si>
    <t>Firewall</t>
  </si>
  <si>
    <t>Server</t>
  </si>
  <si>
    <t>Database</t>
  </si>
  <si>
    <t>Endpoint</t>
  </si>
  <si>
    <t>UB-Dev-Server01</t>
  </si>
  <si>
    <t>UB-Dev-Server02</t>
  </si>
  <si>
    <t>IT-Cent01</t>
  </si>
  <si>
    <t>Azure-AD-Server02</t>
  </si>
  <si>
    <t>Palo Alto Networks</t>
  </si>
  <si>
    <t>PA-220</t>
  </si>
  <si>
    <t>Dell</t>
  </si>
  <si>
    <t>HPE ProLiant DL360 Gen10</t>
  </si>
  <si>
    <t>Microsoft</t>
  </si>
  <si>
    <t>DBaaS</t>
  </si>
  <si>
    <t>HPE</t>
  </si>
  <si>
    <t>Dell PowerEdge R740</t>
  </si>
  <si>
    <t>Lenovo</t>
  </si>
  <si>
    <t>Lenovo ThinkSystem SR630</t>
  </si>
  <si>
    <t>NetApp</t>
  </si>
  <si>
    <t>FAS2750</t>
  </si>
  <si>
    <t xml:space="preserve">Microsoft </t>
  </si>
  <si>
    <t>M365</t>
  </si>
  <si>
    <t>Latitude 7420</t>
  </si>
  <si>
    <t>U001</t>
  </si>
  <si>
    <t>Adebayo.Ogunleye</t>
  </si>
  <si>
    <t>IT Administrator</t>
  </si>
  <si>
    <t>user1@example.com</t>
  </si>
  <si>
    <t>Laptop 3663</t>
  </si>
  <si>
    <t>Admin</t>
  </si>
  <si>
    <t>Active</t>
  </si>
  <si>
    <t>U002</t>
  </si>
  <si>
    <t>Nneka.Okeke</t>
  </si>
  <si>
    <t>Project Manager</t>
  </si>
  <si>
    <t>user2@example.com</t>
  </si>
  <si>
    <t>Laptop 1767</t>
  </si>
  <si>
    <t>U003</t>
  </si>
  <si>
    <t>Zhang.Wei</t>
  </si>
  <si>
    <t>Marketing Specialist</t>
  </si>
  <si>
    <t>user3@example.com</t>
  </si>
  <si>
    <t>Laptop 4127</t>
  </si>
  <si>
    <t>U004</t>
  </si>
  <si>
    <t>Arjun.Patel</t>
  </si>
  <si>
    <t>Security Specialist</t>
  </si>
  <si>
    <t>user4@example.com</t>
  </si>
  <si>
    <t>Laptop 4497</t>
  </si>
  <si>
    <t>U005</t>
  </si>
  <si>
    <t>Fatima.Bello</t>
  </si>
  <si>
    <t>Sales Associate</t>
  </si>
  <si>
    <t>user5@example.com</t>
  </si>
  <si>
    <t>Laptop 6697</t>
  </si>
  <si>
    <t>U006</t>
  </si>
  <si>
    <t>Olufunke.Adeyemi</t>
  </si>
  <si>
    <t>Network Engineer</t>
  </si>
  <si>
    <t>user6@example.com</t>
  </si>
  <si>
    <t>Laptop 4721</t>
  </si>
  <si>
    <t>U007</t>
  </si>
  <si>
    <t>Chinedu.Uzodinma</t>
  </si>
  <si>
    <t>HR Specialist</t>
  </si>
  <si>
    <t>user7@example.com</t>
  </si>
  <si>
    <t>Laptop 8414</t>
  </si>
  <si>
    <t>U008</t>
  </si>
  <si>
    <t>Priya.Singh</t>
  </si>
  <si>
    <t>Finance Analyst</t>
  </si>
  <si>
    <t>user8@example.com</t>
  </si>
  <si>
    <t>Laptop 3914</t>
  </si>
  <si>
    <t>U009</t>
  </si>
  <si>
    <t>Yang.Li</t>
  </si>
  <si>
    <t>Database Admin</t>
  </si>
  <si>
    <t>user9@example.com</t>
  </si>
  <si>
    <t>Laptop 3661</t>
  </si>
  <si>
    <t>U010</t>
  </si>
  <si>
    <t>Omolara.Akinjide</t>
  </si>
  <si>
    <t>Customer Support</t>
  </si>
  <si>
    <t>user10@example.com</t>
  </si>
  <si>
    <t>Laptop 3522</t>
  </si>
  <si>
    <t>U011</t>
  </si>
  <si>
    <t>Amaka.Nwachukwu</t>
  </si>
  <si>
    <t>IT Support</t>
  </si>
  <si>
    <t>user11@example.com</t>
  </si>
  <si>
    <t>Laptop 5386</t>
  </si>
  <si>
    <t>U012</t>
  </si>
  <si>
    <t>Abhishek.Kumar</t>
  </si>
  <si>
    <t>DevOps Engineer</t>
  </si>
  <si>
    <t>user12@example.com</t>
  </si>
  <si>
    <t>Laptop 7567</t>
  </si>
  <si>
    <t>U013</t>
  </si>
  <si>
    <t>Ibrahim.Kabiru</t>
  </si>
  <si>
    <t>Sales Manager</t>
  </si>
  <si>
    <t>user13@example.com</t>
  </si>
  <si>
    <t>Laptop 2519</t>
  </si>
  <si>
    <t>U014</t>
  </si>
  <si>
    <t>Su.Ling</t>
  </si>
  <si>
    <t>Account Manager</t>
  </si>
  <si>
    <t>user14@example.com</t>
  </si>
  <si>
    <t>Laptop 3830</t>
  </si>
  <si>
    <t>U015</t>
  </si>
  <si>
    <t>Uchenna.Ikeji</t>
  </si>
  <si>
    <t>Security Analyst</t>
  </si>
  <si>
    <t>user15@example.com</t>
  </si>
  <si>
    <t>Laptop 5976</t>
  </si>
  <si>
    <t>U016</t>
  </si>
  <si>
    <t>Feng.Huang</t>
  </si>
  <si>
    <t>Product Manager</t>
  </si>
  <si>
    <t>user16@example.com</t>
  </si>
  <si>
    <t>Laptop 9781</t>
  </si>
  <si>
    <t>U017</t>
  </si>
  <si>
    <t>Bolaji.Adeniran</t>
  </si>
  <si>
    <t>Marketing Lead</t>
  </si>
  <si>
    <t>user17@example.com</t>
  </si>
  <si>
    <t>Laptop 7901</t>
  </si>
  <si>
    <t>U018</t>
  </si>
  <si>
    <t>Ahmed.Mohammed</t>
  </si>
  <si>
    <t>Cloud Engineer</t>
  </si>
  <si>
    <t>user18@example.com</t>
  </si>
  <si>
    <t>Laptop 2479</t>
  </si>
  <si>
    <t>U019</t>
  </si>
  <si>
    <t>Chisom.Eze</t>
  </si>
  <si>
    <t>Finance Specialist</t>
  </si>
  <si>
    <t>user19@example.com</t>
  </si>
  <si>
    <t>Laptop 5164</t>
  </si>
  <si>
    <t>U020</t>
  </si>
  <si>
    <t>Rajesh.Rao</t>
  </si>
  <si>
    <t>Operations Manager</t>
  </si>
  <si>
    <t>user20@example.com</t>
  </si>
  <si>
    <t>Laptop 2684</t>
  </si>
  <si>
    <t>U021</t>
  </si>
  <si>
    <t>Ayodele.Balogun</t>
  </si>
  <si>
    <t>Network Security</t>
  </si>
  <si>
    <t>user21@example.com</t>
  </si>
  <si>
    <t>Laptop 7315</t>
  </si>
  <si>
    <t>U022</t>
  </si>
  <si>
    <t>Qian.Yang</t>
  </si>
  <si>
    <t>Quality Assurance</t>
  </si>
  <si>
    <t>user22@example.com</t>
  </si>
  <si>
    <t>Laptop 8617</t>
  </si>
  <si>
    <t>U023</t>
  </si>
  <si>
    <t>Ifeoma.Onwudiwe</t>
  </si>
  <si>
    <t>Customer Service</t>
  </si>
  <si>
    <t>user23@example.com</t>
  </si>
  <si>
    <t>Laptop 2142</t>
  </si>
  <si>
    <t>U024</t>
  </si>
  <si>
    <t>Ravi.Sharma</t>
  </si>
  <si>
    <t>Systems Analyst</t>
  </si>
  <si>
    <t>user24@example.com</t>
  </si>
  <si>
    <t>Laptop 4379</t>
  </si>
  <si>
    <t>U025</t>
  </si>
  <si>
    <t>Meifeng.Zhao</t>
  </si>
  <si>
    <t>Content Writer</t>
  </si>
  <si>
    <t>user25@example.com</t>
  </si>
  <si>
    <t>Laptop 4576</t>
  </si>
  <si>
    <t>U026</t>
  </si>
  <si>
    <t>Anil.Chopra</t>
  </si>
  <si>
    <t>Sales Coordinator</t>
  </si>
  <si>
    <t>user26@example.com</t>
  </si>
  <si>
    <t>Laptop 4514</t>
  </si>
  <si>
    <t>U027</t>
  </si>
  <si>
    <t>Habeeb.Danjuma</t>
  </si>
  <si>
    <t>Infrastructure Lead</t>
  </si>
  <si>
    <t>user27@example.com</t>
  </si>
  <si>
    <t>Laptop 9943</t>
  </si>
  <si>
    <t>U028</t>
  </si>
  <si>
    <t>Amina.Abubakar</t>
  </si>
  <si>
    <t>Procurement Officer</t>
  </si>
  <si>
    <t>user28@example.com</t>
  </si>
  <si>
    <t>Laptop 1164</t>
  </si>
  <si>
    <t>U029</t>
  </si>
  <si>
    <t>Olamide.Odunayo</t>
  </si>
  <si>
    <t>IT Auditor</t>
  </si>
  <si>
    <t>user29@example.com</t>
  </si>
  <si>
    <t>Laptop 6332</t>
  </si>
  <si>
    <t>U030</t>
  </si>
  <si>
    <t>Bhavna.Kapoor</t>
  </si>
  <si>
    <t>Training Specialist</t>
  </si>
  <si>
    <t>user30@example.com</t>
  </si>
  <si>
    <t>Laptop 8856</t>
  </si>
  <si>
    <t>U031</t>
  </si>
  <si>
    <t>John.Doe</t>
  </si>
  <si>
    <t>Business Analyst</t>
  </si>
  <si>
    <t>user31@example.com</t>
  </si>
  <si>
    <t>Laptop 2298</t>
  </si>
  <si>
    <t>U032</t>
  </si>
  <si>
    <t>Sarah.Jones</t>
  </si>
  <si>
    <t>Marketing Executive</t>
  </si>
  <si>
    <t>user32@example.com</t>
  </si>
  <si>
    <t>Laptop 7920</t>
  </si>
  <si>
    <t>U033</t>
  </si>
  <si>
    <t>Emma.Watson</t>
  </si>
  <si>
    <t>HR Generalist</t>
  </si>
  <si>
    <t>user33@example.com</t>
  </si>
  <si>
    <t>Laptop 2690</t>
  </si>
  <si>
    <t>U034</t>
  </si>
  <si>
    <t>James.Smith</t>
  </si>
  <si>
    <t>System Architect</t>
  </si>
  <si>
    <t>user34@example.com</t>
  </si>
  <si>
    <t>Laptop 8560</t>
  </si>
  <si>
    <t>U035</t>
  </si>
  <si>
    <t>Michael.Johnson</t>
  </si>
  <si>
    <t>Sales Consultant</t>
  </si>
  <si>
    <t>user35@example.com</t>
  </si>
  <si>
    <t>Laptop 9578</t>
  </si>
  <si>
    <t>U036</t>
  </si>
  <si>
    <t>Alice.Brown</t>
  </si>
  <si>
    <t>Product Designer</t>
  </si>
  <si>
    <t>user36@example.com</t>
  </si>
  <si>
    <t>Laptop 1636</t>
  </si>
  <si>
    <t>U037</t>
  </si>
  <si>
    <t>David.Wilson</t>
  </si>
  <si>
    <t>user37@example.com</t>
  </si>
  <si>
    <t>Laptop 6694</t>
  </si>
  <si>
    <t>U038</t>
  </si>
  <si>
    <t>Olivia.Taylor</t>
  </si>
  <si>
    <t>Financial Analyst</t>
  </si>
  <si>
    <t>user38@example.com</t>
  </si>
  <si>
    <t>Laptop 1818</t>
  </si>
  <si>
    <t>U039</t>
  </si>
  <si>
    <t>Jan.Kowalski</t>
  </si>
  <si>
    <t>Logistics Specialist</t>
  </si>
  <si>
    <t>user39@example.com</t>
  </si>
  <si>
    <t>Laptop 9594</t>
  </si>
  <si>
    <t>U040</t>
  </si>
  <si>
    <t>Anna.Novak</t>
  </si>
  <si>
    <t>Customer Relations</t>
  </si>
  <si>
    <t>user40@example.com</t>
  </si>
  <si>
    <t>Laptop 8809</t>
  </si>
  <si>
    <t>Suspended</t>
  </si>
  <si>
    <t>User</t>
  </si>
  <si>
    <t>VUL-0001</t>
  </si>
  <si>
    <t>Network Vulnerability</t>
  </si>
  <si>
    <t>Low</t>
  </si>
  <si>
    <t>Firewall misconfiguration</t>
  </si>
  <si>
    <t>2024-07-10</t>
  </si>
  <si>
    <t>Open</t>
  </si>
  <si>
    <t>2024-08-01</t>
  </si>
  <si>
    <t>IT Security Team</t>
  </si>
  <si>
    <t>VUL-0002</t>
  </si>
  <si>
    <t>OS Vulnerability</t>
  </si>
  <si>
    <t>Medium</t>
  </si>
  <si>
    <t>Privilege escalation risk</t>
  </si>
  <si>
    <t>2024-05-15</t>
  </si>
  <si>
    <t>2024-06-01</t>
  </si>
  <si>
    <t>IT Dept</t>
  </si>
  <si>
    <t>VUL-0003</t>
  </si>
  <si>
    <t>Database Vulnerability</t>
  </si>
  <si>
    <t>High</t>
  </si>
  <si>
    <t>Unpatched SQL vulnerability</t>
  </si>
  <si>
    <t>2024-09-25</t>
  </si>
  <si>
    <t>2024-10-10</t>
  </si>
  <si>
    <t>Database Team</t>
  </si>
  <si>
    <t>VUL-0004</t>
  </si>
  <si>
    <t>Web Vulnerability</t>
  </si>
  <si>
    <t>Open SSH vulnerability</t>
  </si>
  <si>
    <t>2024-06-13</t>
  </si>
  <si>
    <t>In Progress</t>
  </si>
  <si>
    <t>2024-07-15</t>
  </si>
  <si>
    <t>DevOps</t>
  </si>
  <si>
    <t>VUL-0005</t>
  </si>
  <si>
    <t>Server Vulnerability</t>
  </si>
  <si>
    <t>Insecure remote access</t>
  </si>
  <si>
    <t>2024-08-09</t>
  </si>
  <si>
    <t>Resolved</t>
  </si>
  <si>
    <t>2024-09-01</t>
  </si>
  <si>
    <t>Development Team</t>
  </si>
  <si>
    <t>VUL-0006</t>
  </si>
  <si>
    <t>Backup Vulnerability</t>
  </si>
  <si>
    <t>Backup misconfiguration</t>
  </si>
  <si>
    <t>2024-04-18</t>
  </si>
  <si>
    <t>2024-05-05</t>
  </si>
  <si>
    <t>VUL-0007</t>
  </si>
  <si>
    <t>Email Vulnerability</t>
  </si>
  <si>
    <t>Email spoofing vulnerability</t>
  </si>
  <si>
    <t>2024-11-01</t>
  </si>
  <si>
    <t>2024-12-01</t>
  </si>
  <si>
    <t>VUL-0008</t>
  </si>
  <si>
    <t>Endpoint Vulnerability</t>
  </si>
  <si>
    <t>Unpatched OS vulnerability</t>
  </si>
  <si>
    <t>2024-10-05</t>
  </si>
  <si>
    <t>2024-11-20</t>
  </si>
  <si>
    <t>Marketing</t>
  </si>
  <si>
    <t>VUL-0009</t>
  </si>
  <si>
    <t>Sales</t>
  </si>
  <si>
    <t>COMP-0001</t>
  </si>
  <si>
    <t>COMP-0002</t>
  </si>
  <si>
    <t>COMP-0003</t>
  </si>
  <si>
    <t>COMP-0004</t>
  </si>
  <si>
    <t>COMP-0005</t>
  </si>
  <si>
    <t>COMP-0006</t>
  </si>
  <si>
    <t>COMP-0007</t>
  </si>
  <si>
    <t>COMP-0008</t>
  </si>
  <si>
    <t>COMP-0009</t>
  </si>
  <si>
    <t>Firewall access control</t>
  </si>
  <si>
    <t>Compliant</t>
  </si>
  <si>
    <t>2024-06-10</t>
  </si>
  <si>
    <t>Access control reviewed and approved</t>
  </si>
  <si>
    <t>Data protection</t>
  </si>
  <si>
    <t>Non-Compliant</t>
  </si>
  <si>
    <t>2024-05-20</t>
  </si>
  <si>
    <t>Alice Johnson</t>
  </si>
  <si>
    <t>Data encryption policy outdated</t>
  </si>
  <si>
    <t>Database encryption</t>
  </si>
  <si>
    <t>Database encryption verified</t>
  </si>
  <si>
    <t>Web server security</t>
  </si>
  <si>
    <t>Web server configuration needs improvement</t>
  </si>
  <si>
    <t>Access control</t>
  </si>
  <si>
    <t>2024-04-25</t>
  </si>
  <si>
    <t>Access control compliant</t>
  </si>
  <si>
    <t>Backup encryption</t>
  </si>
  <si>
    <t>2024-09-15</t>
  </si>
  <si>
    <t>Backup encryption verified</t>
  </si>
  <si>
    <t>Email security</t>
  </si>
  <si>
    <t>Email security weak</t>
  </si>
  <si>
    <t>Endpoint protection</t>
  </si>
  <si>
    <t>Karen Thomas</t>
  </si>
  <si>
    <t>Endpoint protection compliant</t>
  </si>
  <si>
    <t>Endpoint monitoring</t>
  </si>
  <si>
    <t>2024-10-20</t>
  </si>
  <si>
    <t>Emily Davis</t>
  </si>
  <si>
    <t>Endpoint monitoring missing</t>
  </si>
  <si>
    <t>ISO 27001</t>
  </si>
  <si>
    <t>GDPR</t>
  </si>
  <si>
    <t>PCI-DSS</t>
  </si>
  <si>
    <t>SOC 2</t>
  </si>
  <si>
    <t>UK Data Protection Act 2018</t>
  </si>
  <si>
    <t>Cyber Essentials</t>
  </si>
  <si>
    <t>INC-0001</t>
  </si>
  <si>
    <t>Firewall malfunction caused network outage</t>
  </si>
  <si>
    <t>2024-01-10</t>
  </si>
  <si>
    <t>2024-01-12</t>
  </si>
  <si>
    <t>Firewall software updated</t>
  </si>
  <si>
    <t>INC-0002</t>
  </si>
  <si>
    <t>Critical</t>
  </si>
  <si>
    <t>Unauthorized access detected in AD server</t>
  </si>
  <si>
    <t>2024-02-15</t>
  </si>
  <si>
    <t>2024-02-16</t>
  </si>
  <si>
    <t>Access controls strengthened</t>
  </si>
  <si>
    <t>INC-0003</t>
  </si>
  <si>
    <t>Sensitive data exposed in SQL database</t>
  </si>
  <si>
    <t>2024-03-20</t>
  </si>
  <si>
    <t>2024-03-22</t>
  </si>
  <si>
    <t>Database encryption implemented</t>
  </si>
  <si>
    <t>INC-0004</t>
  </si>
  <si>
    <t>Downtime on web server</t>
  </si>
  <si>
    <t>2024-04-27</t>
  </si>
  <si>
    <t>Web server load balanced</t>
  </si>
  <si>
    <t>INC-0005</t>
  </si>
  <si>
    <t>System crash on Dev server</t>
  </si>
  <si>
    <t>2024-05-30</t>
  </si>
  <si>
    <t>System reconfigured</t>
  </si>
  <si>
    <t>INC-0006</t>
  </si>
  <si>
    <t>Data Loss</t>
  </si>
  <si>
    <t>Data loss on backup server</t>
  </si>
  <si>
    <t>2024-06-05</t>
  </si>
  <si>
    <t>Data recovery protocol implemented</t>
  </si>
  <si>
    <t>INC-0007</t>
  </si>
  <si>
    <t>Phishing attack on email server</t>
  </si>
  <si>
    <t>2024-07-12</t>
  </si>
  <si>
    <t>Employee training on phishing conducted</t>
  </si>
  <si>
    <t>INC-0008</t>
  </si>
  <si>
    <t>Malware infection on endpoint</t>
  </si>
  <si>
    <t>2024-08-15</t>
  </si>
  <si>
    <t>2024-08-18</t>
  </si>
  <si>
    <t>Antivirus updated and system scanned</t>
  </si>
  <si>
    <t>INC-0009</t>
  </si>
  <si>
    <t>Unauthorized access on endpoint</t>
  </si>
  <si>
    <t>2024-09-20</t>
  </si>
  <si>
    <t>2024-09-22</t>
  </si>
  <si>
    <t>Endpoint security policies reinforced</t>
  </si>
  <si>
    <t>SVC-0001</t>
  </si>
  <si>
    <t>Firewall Management</t>
  </si>
  <si>
    <t>Manages firewall configurations and security rules</t>
  </si>
  <si>
    <t>99.9% uptime</t>
  </si>
  <si>
    <t>SVC-0002</t>
  </si>
  <si>
    <t>Active Directory</t>
  </si>
  <si>
    <t>Manages user authentication and directory services</t>
  </si>
  <si>
    <t>99.5% uptime</t>
  </si>
  <si>
    <t>SVC-0003</t>
  </si>
  <si>
    <t>Database Hosting</t>
  </si>
  <si>
    <t>Hosts critical databases for applications</t>
  </si>
  <si>
    <t>SVC-0004</t>
  </si>
  <si>
    <t>Web Hosting</t>
  </si>
  <si>
    <t>Provides hosting for web applications</t>
  </si>
  <si>
    <t>99.0% uptime</t>
  </si>
  <si>
    <t>Maintenance</t>
  </si>
  <si>
    <t>SVC-0005</t>
  </si>
  <si>
    <t>Development Server</t>
  </si>
  <si>
    <t>Hosts development and testing environments</t>
  </si>
  <si>
    <t>95% uptime</t>
  </si>
  <si>
    <t>SVC-0006</t>
  </si>
  <si>
    <t>Backup Services</t>
  </si>
  <si>
    <t>Provides regular data backups and restores</t>
  </si>
  <si>
    <t>99.9% backup integrity</t>
  </si>
  <si>
    <t>SVC-0007</t>
  </si>
  <si>
    <t>Email Services</t>
  </si>
  <si>
    <t>Manages corporate email infrastructure</t>
  </si>
  <si>
    <t>99.9% email availability</t>
  </si>
  <si>
    <t>SVC-0008</t>
  </si>
  <si>
    <t>Endpoint Security</t>
  </si>
  <si>
    <t>Provides security for corporate endpoints</t>
  </si>
  <si>
    <t>Azure-Endpoint-01, Azure-Endpoint-02</t>
  </si>
  <si>
    <t>99.9% endpoint protection</t>
  </si>
  <si>
    <t>SVC-0009</t>
  </si>
  <si>
    <t>Sales Application</t>
  </si>
  <si>
    <t>Supports sales operations with real-time data</t>
  </si>
  <si>
    <t>Sales-App-Server</t>
  </si>
  <si>
    <t>Sales Team</t>
  </si>
  <si>
    <t>99.8% uptime</t>
  </si>
  <si>
    <t>Office</t>
  </si>
  <si>
    <t>Cloud</t>
  </si>
  <si>
    <t>31\10\2022</t>
  </si>
  <si>
    <t>31\10\2025</t>
  </si>
  <si>
    <t>Network</t>
  </si>
  <si>
    <t>Dev-Ops</t>
  </si>
  <si>
    <t>IT</t>
  </si>
  <si>
    <t>DBA</t>
  </si>
  <si>
    <t>Location2</t>
  </si>
  <si>
    <t>Criticality</t>
  </si>
  <si>
    <t>Configuration</t>
  </si>
  <si>
    <t>Firmware Version: 9.1.6, Network Rules: Standard Security Group Rules, Inspection Mode: Layer 7, Logging Enabled: Yes</t>
  </si>
  <si>
    <t>OS: Windows Server 2019, CPU: Intel Xeon 2.6 GHz (4 cores), RAM: 16 GB, AD Roles: Domain Controller, DNS Enabled: Yes, Backup: Weekly</t>
  </si>
  <si>
    <t>SQL Version: Azure SQL Database, Tier: General Purpose, Max Storage: 500 GB, Backup Retention: 14 days, Encryption Enabled: TDE (Transparent Data Encryption)</t>
  </si>
  <si>
    <t>OS: Ubuntu 20.04, CPU: AMD EPYC 2.55 GHz (4 cores), RAM: 8 GB, Web Server: Apache 2.4, SSL Enabled: Yes, Load Balancing: Enabled</t>
  </si>
  <si>
    <t>OS: Windows Server 2016, CPU: Intel Xeon 2.3 GHz (4 cores), RAM: 16 GB, Role: Development Testing, Security Group: Restricted Access, Backup: None</t>
  </si>
  <si>
    <t>OS: Windows Server 2016, CPU: Intel Xeon 2.1 GHz (2 cores), RAM: 8 GB, Role: Backup, Storage Capacity: 5 TB, Backup Software: Veeam, Replication: Weekly</t>
  </si>
  <si>
    <t>Platform: Microsoft 365, Exchange Online Plan: Plan 2, Multi-Factor Authentication (MFA): Enabled, Compliance: GDPR, Encryption: Yes</t>
  </si>
  <si>
    <t>OS: Windows 10, CPU: Intel i7, RAM: 16 GB, Disk Encryption: BitLocker, Antivirus: Microsoft Defender ATP, Remote Access: Enabled</t>
  </si>
  <si>
    <t xml:space="preserve">Affected Asset </t>
  </si>
  <si>
    <t xml:space="preserve">Mitigation Status </t>
  </si>
  <si>
    <t>Unresolved</t>
  </si>
  <si>
    <t>In-progress</t>
  </si>
  <si>
    <t>Vulnerability Source</t>
  </si>
  <si>
    <t>Internal Scan</t>
  </si>
  <si>
    <t>CVE</t>
  </si>
  <si>
    <t>Asset ID (Affected)</t>
  </si>
  <si>
    <t>Amaka Nwachukwu</t>
  </si>
  <si>
    <t>Arjun Patel</t>
  </si>
  <si>
    <t>Mitigation Actions</t>
  </si>
  <si>
    <t>MFA Activated</t>
  </si>
  <si>
    <t>SIEM Implemented</t>
  </si>
  <si>
    <t>DR implemented</t>
  </si>
  <si>
    <t>Backup server configured</t>
  </si>
  <si>
    <t>Data backup schedule revisited</t>
  </si>
  <si>
    <t>Employee training</t>
  </si>
  <si>
    <t>Microsoft Defender implemented</t>
  </si>
  <si>
    <t>MFA implemented</t>
  </si>
  <si>
    <t>Dependencies</t>
  </si>
  <si>
    <t>Criticality Level2</t>
  </si>
  <si>
    <t xml:space="preserve">Associated Incidents </t>
  </si>
  <si>
    <t>None</t>
  </si>
  <si>
    <t>Closed</t>
  </si>
  <si>
    <t>Pending</t>
  </si>
  <si>
    <t>Assets</t>
  </si>
  <si>
    <t>EP_U001-40</t>
  </si>
  <si>
    <t>Viewer</t>
  </si>
  <si>
    <t>Online</t>
  </si>
  <si>
    <t>Service Outage</t>
  </si>
  <si>
    <t>Security Breach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</si>
</sst>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4"/>
      <name val="Aptos Narrow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</fills>
  <borders count="5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3" xfId="0" applyFont="1" applyBorder="1" applyAlignment="1">
      <alignment horizontal="center" vertical="top"/>
    </xf>
    <xf numFmtId="0" fontId="0" fillId="0" borderId="4" xfId="0" applyBorder="1"/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top" wrapText="1"/>
    </xf>
    <xf numFmtId="0" fontId="2" fillId="0" borderId="0" xfId="0" applyFont="1"/>
    <xf numFmtId="0" fontId="2" fillId="0" borderId="0" xfId="0" applyFont="1" applyAlignment="1">
      <alignment wrapText="1"/>
    </xf>
    <xf numFmtId="0" fontId="4" fillId="0" borderId="0" xfId="0" applyFont="1" applyAlignment="1">
      <alignment horizontal="center"/>
    </xf>
    <xf numFmtId="0" fontId="6" fillId="0" borderId="3" xfId="0" applyFont="1" applyBorder="1" applyAlignment="1">
      <alignment horizontal="center" vertical="top" shrinkToFit="1"/>
    </xf>
    <xf numFmtId="0" fontId="5" fillId="0" borderId="0" xfId="0" applyFont="1" applyAlignment="1">
      <alignment horizontal="center" shrinkToFit="1"/>
    </xf>
    <xf numFmtId="0" fontId="3" fillId="0" borderId="3" xfId="0" applyFont="1" applyBorder="1" applyAlignment="1">
      <alignment horizontal="center" vertical="top"/>
    </xf>
    <xf numFmtId="0" fontId="3" fillId="0" borderId="3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 shrinkToFit="1"/>
    </xf>
    <xf numFmtId="0" fontId="7" fillId="2" borderId="1" xfId="0" applyFont="1" applyFill="1" applyBorder="1"/>
    <xf numFmtId="0" fontId="7" fillId="2" borderId="2" xfId="0" applyFont="1" applyFill="1" applyBorder="1"/>
    <xf numFmtId="0" fontId="7" fillId="0" borderId="0" xfId="0" applyFont="1"/>
    <xf numFmtId="0" fontId="7" fillId="0" borderId="0" xfId="0" applyFont="1" applyAlignment="1">
      <alignment wrapText="1"/>
    </xf>
    <xf numFmtId="0" fontId="7" fillId="3" borderId="1" xfId="0" applyFont="1" applyFill="1" applyBorder="1"/>
    <xf numFmtId="0" fontId="7" fillId="3" borderId="2" xfId="0" applyFont="1" applyFill="1" applyBorder="1"/>
    <xf numFmtId="0" fontId="7" fillId="2" borderId="0" xfId="0" applyFont="1" applyFill="1"/>
    <xf numFmtId="0" fontId="8" fillId="0" borderId="3" xfId="0" applyFont="1" applyBorder="1" applyAlignment="1">
      <alignment horizontal="center" vertical="top"/>
    </xf>
    <xf numFmtId="0" fontId="9" fillId="0" borderId="0" xfId="0" applyFont="1"/>
  </cellXfs>
  <cellStyles count="1">
    <cellStyle name="Normal" xfId="0" builtinId="0"/>
  </cellStyles>
  <dxfs count="53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textRotation="0" wrapText="1" indent="0" justifyLastLine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top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C0A593-AD15-4343-A7DA-95BAB4CF852D}" name="Table1" displayName="Table1" ref="A1:N9" totalsRowShown="0" headerRowDxfId="52" dataDxfId="50" headerRowBorderDxfId="51">
  <autoFilter ref="A1:N9" xr:uid="{F5C0A593-AD15-4343-A7DA-95BAB4CF852D}"/>
  <tableColumns count="14">
    <tableColumn id="1" xr3:uid="{5B93C644-EF12-4E54-BB13-631BC6FDA671}" name="Asset ID" dataDxfId="49"/>
    <tableColumn id="2" xr3:uid="{2B38AF75-4ADA-4AA5-B7B2-D774BEE8516C}" name="Asset Type" dataDxfId="48"/>
    <tableColumn id="12" xr3:uid="{F736EDEF-E8F5-4B5D-87F2-B5ADD54DEE0D}" name="Owner" dataDxfId="47"/>
    <tableColumn id="13" xr3:uid="{C8B04654-E3DF-4CAD-B021-55A9274CB365}" name="Location" dataDxfId="46"/>
    <tableColumn id="14" xr3:uid="{00936DF0-B846-46A3-B4F5-11381E1374E2}" name="Criticality" dataDxfId="45"/>
    <tableColumn id="15" xr3:uid="{95AC979B-9E57-4A3B-AC96-AA5E2FD7F979}" name="Status" dataDxfId="44"/>
    <tableColumn id="16" xr3:uid="{89D77BBD-D0E9-427E-B6D6-6D193E830B58}" name="Configuration" dataDxfId="43"/>
    <tableColumn id="3" xr3:uid="{84D5F2FA-E7EE-4F1A-9BB7-9B0EB81D751F}" name="Serial Number " dataDxfId="42">
      <calculatedColumnFormula>TEXT(ROW(A2)-ROW($A$2)+1, "0000")</calculatedColumnFormula>
    </tableColumn>
    <tableColumn id="4" xr3:uid="{18C8F815-6162-4FDA-A448-B79099332446}" name="Asset Tag" dataDxfId="41"/>
    <tableColumn id="5" xr3:uid="{4DA7F314-6A87-4BF6-9DA1-6CD4C8466CAD}" name="Manufacturer" dataDxfId="40"/>
    <tableColumn id="6" xr3:uid="{2A992714-1C1E-4A30-957D-79A491D9D3AE}" name="Model" dataDxfId="39"/>
    <tableColumn id="7" xr3:uid="{95F9F1AA-48C0-4353-822B-C381641E4C79}" name="Location2" dataDxfId="38"/>
    <tableColumn id="8" xr3:uid="{469EBC2E-77B5-4DC1-991D-259F92B6BFD9}" name="Purchase Date " dataDxfId="37"/>
    <tableColumn id="9" xr3:uid="{1A623401-E7BA-4B00-8576-DB6C2852C0E3}" name="Warranty Expiration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CB244A-013F-4A6F-AC3B-A8AD3620AF88}" name="Table3" displayName="Table3" ref="A1:K10" totalsRowShown="0" headerRowDxfId="35" dataDxfId="33" headerRowBorderDxfId="34">
  <autoFilter ref="A1:K10" xr:uid="{32CB244A-013F-4A6F-AC3B-A8AD3620AF88}"/>
  <tableColumns count="11">
    <tableColumn id="1" xr3:uid="{C1C28844-30CE-417C-956A-EFF5A77DA9EE}" name="Vulnerability ID" dataDxfId="32"/>
    <tableColumn id="2" xr3:uid="{56FFC337-8FF6-490B-A310-AD837E072396}" name="Affected Asset " dataDxfId="31"/>
    <tableColumn id="10" xr3:uid="{A148867B-897E-472A-8D08-1529E81DBD7F}" name="Discovery Date" dataDxfId="30"/>
    <tableColumn id="11" xr3:uid="{22BFF920-06B4-4A80-BF70-186EB6D527C3}" name="Mitigation Status " dataDxfId="29"/>
    <tableColumn id="12" xr3:uid="{BD404B0A-8A95-4F1D-B41D-CBA1C2F20034}" name="Vulnerability Source" dataDxfId="28"/>
    <tableColumn id="3" xr3:uid="{3FADA53A-67C1-4487-982C-361C968CE10D}" name="Vulnerability Type" dataDxfId="27"/>
    <tableColumn id="4" xr3:uid="{43C5844C-A309-42DD-B96D-D2E79C45F777}" name="Severity" dataDxfId="26"/>
    <tableColumn id="5" xr3:uid="{94CCB57C-99CD-4FAF-969B-8DA65917AC88}" name="Description" dataDxfId="25"/>
    <tableColumn id="7" xr3:uid="{ACCFC083-1C24-4EAE-8C93-8410F4D17037}" name="Status" dataDxfId="24"/>
    <tableColumn id="8" xr3:uid="{813FDABC-EBB1-45F2-A9B4-8B70F0EE1A4E}" name="Remediation Target Date" dataDxfId="23"/>
    <tableColumn id="9" xr3:uid="{CC3BB731-774F-40DD-85E6-7821A468E8FA}" name="Assigned To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E1969A-B9CE-4CF1-8552-AF97F6595637}" name="Table4" displayName="Table4" ref="A1:H10" totalsRowShown="0" headerRowDxfId="21" headerRowBorderDxfId="20">
  <autoFilter ref="A1:H10" xr:uid="{29E1969A-B9CE-4CF1-8552-AF97F6595637}"/>
  <tableColumns count="8">
    <tableColumn id="1" xr3:uid="{8384EDF6-F2C3-4BB1-B390-F1EE5220547F}" name="Compliance ID"/>
    <tableColumn id="9" xr3:uid="{2CA7F51D-4F7C-48BC-B1DB-D12756784831}" name="Regulation / Standard"/>
    <tableColumn id="2" xr3:uid="{271C0459-15CC-4E41-9BC4-8ED1266183BD}" name="Asset ID (Affected)"/>
    <tableColumn id="10" xr3:uid="{F2394234-CB54-4046-9100-2D192653FC16}" name="Compliance Status"/>
    <tableColumn id="11" xr3:uid="{9858D1DF-107A-4FFB-B7DE-1A86505E9191}" name="Last Audit Date"/>
    <tableColumn id="4" xr3:uid="{512CAB22-BC48-4818-9DCA-BAD1DBD4F679}" name="Control Description"/>
    <tableColumn id="7" xr3:uid="{E8D78325-2F22-4479-816F-E02ABF098650}" name="Assigned Compliance Officer"/>
    <tableColumn id="8" xr3:uid="{9642B71E-510D-464D-9A70-37A6F1C6C407}" name="Compliance Notes / Evidenc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255892-30D2-43FE-8D04-EEA257B0CF27}" name="Table5" displayName="Table5" ref="A1:J10" totalsRowShown="0" headerRowDxfId="19" dataDxfId="18">
  <autoFilter ref="A1:J10" xr:uid="{DB255892-30D2-43FE-8D04-EEA257B0CF27}"/>
  <tableColumns count="10">
    <tableColumn id="1" xr3:uid="{666AECEE-5ECF-4279-8429-576E4504D57F}" name="Incident ID" dataDxfId="17"/>
    <tableColumn id="10" xr3:uid="{1C9BE26A-95B4-4331-9E5D-0ADD4BC360CE}" name="Incident Type" dataDxfId="16"/>
    <tableColumn id="11" xr3:uid="{D31ECB0C-6832-4D32-BBA4-719E8F7BE46F}" name="Severity Level" dataDxfId="15"/>
    <tableColumn id="2" xr3:uid="{B28FD168-F042-4ADD-BBA3-84B62C9397F7}" name="Asset ID (Affected)" dataDxfId="14"/>
    <tableColumn id="5" xr3:uid="{A6B715E8-103D-476D-BD8D-C1A56A18B932}" name="Incident Description" dataDxfId="13"/>
    <tableColumn id="12" xr3:uid="{DC3B8F9F-1492-4A24-9BF5-3C183EC33D1B}" name="Root Cause / Resolution Notes" dataDxfId="12"/>
    <tableColumn id="6" xr3:uid="{F6CE1475-C2FF-4D5A-BDD9-BCBBD0F99503}" name="Date of Incident" dataDxfId="11"/>
    <tableColumn id="13" xr3:uid="{4E9C9AA1-E7BB-418B-A3DF-65B8DB5403C9}" name="Mitigation Actions" dataDxfId="10"/>
    <tableColumn id="7" xr3:uid="{8EA92EE2-E417-4A1F-BD52-8CF47FA3CF0F}" name="Resolution Date" dataDxfId="9"/>
    <tableColumn id="8" xr3:uid="{834BC322-E1AA-441A-90D0-22A97B02D4BB}" name="Status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62A37E-569F-4BB9-9910-8891199DD484}" name="Table2" displayName="Table2" ref="A1:H41" totalsRowShown="0" headerRowDxfId="7" headerRowBorderDxfId="6">
  <autoFilter ref="A1:H41" xr:uid="{B062A37E-569F-4BB9-9910-8891199DD484}"/>
  <tableColumns count="8">
    <tableColumn id="1" xr3:uid="{C0C75A31-5205-4B2B-880C-15FD63E998D0}" name="User ID"/>
    <tableColumn id="10" xr3:uid="{9EFB494E-BB9A-4796-A48F-349D82146C51}" name="Department / Role"/>
    <tableColumn id="8" xr3:uid="{BF276835-4264-4F55-9017-AA55955CD973}" name="Access Level"/>
    <tableColumn id="9" xr3:uid="{09454EBB-87E0-4C9C-9E06-7E668F938860}" name="Assets"/>
    <tableColumn id="11" xr3:uid="{ADEE16C1-0F51-4C1A-8B02-6562AE1BFCFB}" name="Asset Tag" dataDxfId="5">
      <calculatedColumnFormula xml:space="preserve"> "EP_" &amp; A2</calculatedColumnFormula>
    </tableColumn>
    <tableColumn id="2" xr3:uid="{0CA507D4-D740-4BA7-824F-22CAD71C875D}" name="Username"/>
    <tableColumn id="4" xr3:uid="{F97D2FAF-EC79-451A-AE6D-5812180C6A11}" name="Contact Information"/>
    <tableColumn id="7" xr3:uid="{F65BFD4A-A148-4A6C-8DC7-F27F4479824B}" name="Account Status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7803115-0D85-4463-97D9-57AF1A1DA3CE}" name="Table6" displayName="Table6" ref="A1:J10" totalsRowShown="0" headerRowDxfId="4" headerRowBorderDxfId="3">
  <autoFilter ref="A1:J10" xr:uid="{67803115-0D85-4463-97D9-57AF1A1DA3CE}"/>
  <tableColumns count="10">
    <tableColumn id="1" xr3:uid="{1010A866-C9B3-4444-8908-4067371CE1AB}" name="Service ID"/>
    <tableColumn id="10" xr3:uid="{275006B5-7AAA-4A46-8F3E-B31C2851E41B}" name="Dependencies" dataDxfId="2"/>
    <tableColumn id="11" xr3:uid="{60562AE1-66DE-48D3-8990-5D0334573722}" name="Criticality Level" dataDxfId="1"/>
    <tableColumn id="12" xr3:uid="{B6709395-B4B8-4F33-9885-DD60BCE631BC}" name="Associated Incidents "/>
    <tableColumn id="9" xr3:uid="{AB0E30F8-C835-4384-8485-F679AB8721DF}" name="Service Description" dataDxfId="0"/>
    <tableColumn id="2" xr3:uid="{75424E66-AEBD-437F-8ADA-5CD8C82B91BE}" name="Service Name"/>
    <tableColumn id="5" xr3:uid="{EA2657D6-30C7-41F5-944B-FFBF8219CF08}" name="Service Owner"/>
    <tableColumn id="6" xr3:uid="{D21775F4-0845-40BB-9560-5FF8D9490837}" name="SLA Details"/>
    <tableColumn id="7" xr3:uid="{A6126F9D-08E2-4EC9-B034-099CD64D99F4}" name="Status"/>
    <tableColumn id="8" xr3:uid="{CC6B5F22-F137-4451-8E93-594C8926C112}" name="Criticality Level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79998168889431442"/>
  </sheetPr>
  <dimension ref="A1:Q9"/>
  <sheetViews>
    <sheetView topLeftCell="A3" zoomScale="80" zoomScaleNormal="80" workbookViewId="0">
      <selection activeCell="R8" sqref="R8"/>
    </sheetView>
  </sheetViews>
  <sheetFormatPr defaultRowHeight="15" x14ac:dyDescent="0.25"/>
  <cols>
    <col min="1" max="6" width="18.140625" customWidth="1"/>
    <col min="7" max="7" width="29.5703125" style="3" customWidth="1"/>
    <col min="8" max="8" width="19.140625" customWidth="1"/>
    <col min="9" max="9" width="30.85546875" customWidth="1"/>
    <col min="10" max="10" width="18.85546875" customWidth="1"/>
    <col min="11" max="11" width="23.7109375" customWidth="1"/>
    <col min="12" max="12" width="17.140625" customWidth="1"/>
    <col min="13" max="13" width="21" customWidth="1"/>
    <col min="14" max="14" width="27.140625" customWidth="1"/>
  </cols>
  <sheetData>
    <row r="1" spans="1:17" s="7" customFormat="1" ht="18.75" x14ac:dyDescent="0.3">
      <c r="A1" s="8" t="s">
        <v>0</v>
      </c>
      <c r="B1" s="8" t="s">
        <v>1</v>
      </c>
      <c r="C1" s="8" t="s">
        <v>43</v>
      </c>
      <c r="D1" s="8" t="s">
        <v>2</v>
      </c>
      <c r="E1" s="8" t="s">
        <v>467</v>
      </c>
      <c r="F1" s="8" t="s">
        <v>3</v>
      </c>
      <c r="G1" s="12" t="s">
        <v>468</v>
      </c>
      <c r="H1" s="8" t="s">
        <v>38</v>
      </c>
      <c r="I1" s="8" t="s">
        <v>37</v>
      </c>
      <c r="J1" s="8" t="s">
        <v>39</v>
      </c>
      <c r="K1" s="8" t="s">
        <v>40</v>
      </c>
      <c r="L1" s="8" t="s">
        <v>466</v>
      </c>
      <c r="M1" s="8" t="s">
        <v>41</v>
      </c>
      <c r="N1" s="8" t="s">
        <v>42</v>
      </c>
      <c r="O1" s="9"/>
      <c r="P1" s="9"/>
      <c r="Q1" s="9"/>
    </row>
    <row r="2" spans="1:17" ht="80.099999999999994" customHeight="1" x14ac:dyDescent="0.25">
      <c r="A2" s="13" t="s">
        <v>44</v>
      </c>
      <c r="B2" s="14" t="s">
        <v>53</v>
      </c>
      <c r="C2" s="15" t="s">
        <v>462</v>
      </c>
      <c r="D2" s="15" t="s">
        <v>458</v>
      </c>
      <c r="E2" s="15" t="s">
        <v>296</v>
      </c>
      <c r="F2" s="15" t="s">
        <v>82</v>
      </c>
      <c r="G2" s="16" t="s">
        <v>469</v>
      </c>
      <c r="H2" s="15" t="str">
        <f t="shared" ref="H2:H9" si="0">TEXT(ROW(A2)-ROW($A$2)+1, "0000")</f>
        <v>0001</v>
      </c>
      <c r="I2" s="14" t="s">
        <v>44</v>
      </c>
      <c r="J2" s="15" t="s">
        <v>61</v>
      </c>
      <c r="K2" s="15" t="s">
        <v>62</v>
      </c>
      <c r="L2" s="15" t="s">
        <v>458</v>
      </c>
      <c r="M2" s="15" t="s">
        <v>460</v>
      </c>
      <c r="N2" s="15" t="s">
        <v>461</v>
      </c>
    </row>
    <row r="3" spans="1:17" ht="99.95" customHeight="1" x14ac:dyDescent="0.25">
      <c r="A3" s="17" t="s">
        <v>45</v>
      </c>
      <c r="B3" s="18" t="s">
        <v>54</v>
      </c>
      <c r="C3" s="15" t="s">
        <v>463</v>
      </c>
      <c r="D3" s="15" t="s">
        <v>458</v>
      </c>
      <c r="E3" s="15" t="s">
        <v>296</v>
      </c>
      <c r="F3" s="15" t="s">
        <v>82</v>
      </c>
      <c r="G3" s="16" t="s">
        <v>470</v>
      </c>
      <c r="H3" s="15" t="str">
        <f t="shared" si="0"/>
        <v>0002</v>
      </c>
      <c r="I3" s="18" t="s">
        <v>45</v>
      </c>
      <c r="J3" s="15" t="s">
        <v>63</v>
      </c>
      <c r="K3" s="15" t="s">
        <v>68</v>
      </c>
      <c r="L3" s="15" t="s">
        <v>458</v>
      </c>
      <c r="M3" s="15" t="s">
        <v>460</v>
      </c>
      <c r="N3" s="15" t="s">
        <v>461</v>
      </c>
    </row>
    <row r="4" spans="1:17" ht="114.95" customHeight="1" x14ac:dyDescent="0.25">
      <c r="A4" s="13" t="s">
        <v>46</v>
      </c>
      <c r="B4" s="14" t="s">
        <v>55</v>
      </c>
      <c r="C4" s="15" t="s">
        <v>465</v>
      </c>
      <c r="D4" s="15" t="s">
        <v>459</v>
      </c>
      <c r="E4" s="15" t="s">
        <v>296</v>
      </c>
      <c r="F4" s="15" t="s">
        <v>82</v>
      </c>
      <c r="G4" s="16" t="s">
        <v>471</v>
      </c>
      <c r="H4" s="15" t="str">
        <f t="shared" si="0"/>
        <v>0003</v>
      </c>
      <c r="I4" s="14" t="s">
        <v>46</v>
      </c>
      <c r="J4" s="15" t="s">
        <v>65</v>
      </c>
      <c r="K4" s="19" t="s">
        <v>66</v>
      </c>
      <c r="L4" s="15" t="s">
        <v>459</v>
      </c>
      <c r="M4" s="15" t="s">
        <v>460</v>
      </c>
      <c r="N4" s="15" t="s">
        <v>461</v>
      </c>
    </row>
    <row r="5" spans="1:17" ht="99.95" customHeight="1" x14ac:dyDescent="0.25">
      <c r="A5" s="17" t="s">
        <v>47</v>
      </c>
      <c r="B5" s="18" t="s">
        <v>54</v>
      </c>
      <c r="C5" s="15" t="s">
        <v>464</v>
      </c>
      <c r="D5" s="15" t="s">
        <v>458</v>
      </c>
      <c r="E5" s="15" t="s">
        <v>289</v>
      </c>
      <c r="F5" s="15" t="s">
        <v>82</v>
      </c>
      <c r="G5" s="16" t="s">
        <v>472</v>
      </c>
      <c r="H5" s="15" t="str">
        <f t="shared" si="0"/>
        <v>0004</v>
      </c>
      <c r="I5" s="18" t="s">
        <v>57</v>
      </c>
      <c r="J5" s="15" t="s">
        <v>67</v>
      </c>
      <c r="K5" s="15" t="s">
        <v>64</v>
      </c>
      <c r="L5" s="15" t="s">
        <v>458</v>
      </c>
      <c r="M5" s="15" t="s">
        <v>460</v>
      </c>
      <c r="N5" s="15" t="s">
        <v>461</v>
      </c>
    </row>
    <row r="6" spans="1:17" ht="99.95" customHeight="1" x14ac:dyDescent="0.25">
      <c r="A6" s="13" t="s">
        <v>48</v>
      </c>
      <c r="B6" s="14" t="s">
        <v>54</v>
      </c>
      <c r="C6" s="15" t="s">
        <v>464</v>
      </c>
      <c r="D6" s="15" t="s">
        <v>458</v>
      </c>
      <c r="E6" s="15" t="s">
        <v>281</v>
      </c>
      <c r="F6" s="15" t="s">
        <v>82</v>
      </c>
      <c r="G6" s="16" t="s">
        <v>473</v>
      </c>
      <c r="H6" s="15" t="str">
        <f t="shared" si="0"/>
        <v>0005</v>
      </c>
      <c r="I6" s="14" t="s">
        <v>58</v>
      </c>
      <c r="J6" s="15" t="s">
        <v>69</v>
      </c>
      <c r="K6" s="15" t="s">
        <v>70</v>
      </c>
      <c r="L6" s="15" t="s">
        <v>458</v>
      </c>
      <c r="M6" s="15" t="s">
        <v>460</v>
      </c>
      <c r="N6" s="15" t="s">
        <v>461</v>
      </c>
    </row>
    <row r="7" spans="1:17" ht="120" customHeight="1" x14ac:dyDescent="0.25">
      <c r="A7" s="17" t="s">
        <v>49</v>
      </c>
      <c r="B7" s="18" t="s">
        <v>54</v>
      </c>
      <c r="C7" s="15" t="s">
        <v>464</v>
      </c>
      <c r="D7" s="15" t="s">
        <v>458</v>
      </c>
      <c r="E7" s="15" t="s">
        <v>296</v>
      </c>
      <c r="F7" s="15" t="s">
        <v>82</v>
      </c>
      <c r="G7" s="16" t="s">
        <v>474</v>
      </c>
      <c r="H7" s="15" t="str">
        <f t="shared" si="0"/>
        <v>0006</v>
      </c>
      <c r="I7" s="18" t="s">
        <v>59</v>
      </c>
      <c r="J7" s="15" t="s">
        <v>71</v>
      </c>
      <c r="K7" s="15" t="s">
        <v>72</v>
      </c>
      <c r="L7" s="15" t="s">
        <v>458</v>
      </c>
      <c r="M7" s="15" t="s">
        <v>460</v>
      </c>
      <c r="N7" s="15" t="s">
        <v>461</v>
      </c>
    </row>
    <row r="8" spans="1:17" ht="80.099999999999994" customHeight="1" x14ac:dyDescent="0.25">
      <c r="A8" s="13" t="s">
        <v>50</v>
      </c>
      <c r="B8" s="14" t="s">
        <v>54</v>
      </c>
      <c r="C8" s="15" t="s">
        <v>464</v>
      </c>
      <c r="D8" s="15" t="s">
        <v>459</v>
      </c>
      <c r="E8" s="15" t="s">
        <v>296</v>
      </c>
      <c r="F8" s="15" t="s">
        <v>82</v>
      </c>
      <c r="G8" s="16" t="s">
        <v>475</v>
      </c>
      <c r="H8" s="15" t="str">
        <f t="shared" si="0"/>
        <v>0007</v>
      </c>
      <c r="I8" s="14" t="s">
        <v>60</v>
      </c>
      <c r="J8" s="15" t="s">
        <v>73</v>
      </c>
      <c r="K8" s="15" t="s">
        <v>74</v>
      </c>
      <c r="L8" s="15" t="s">
        <v>459</v>
      </c>
      <c r="M8" s="15" t="s">
        <v>460</v>
      </c>
      <c r="N8" s="15" t="s">
        <v>461</v>
      </c>
    </row>
    <row r="9" spans="1:17" ht="90.75" x14ac:dyDescent="0.25">
      <c r="A9" s="17" t="s">
        <v>51</v>
      </c>
      <c r="B9" s="18" t="s">
        <v>56</v>
      </c>
      <c r="C9" s="15" t="s">
        <v>464</v>
      </c>
      <c r="D9" s="15" t="s">
        <v>458</v>
      </c>
      <c r="E9" s="15" t="s">
        <v>281</v>
      </c>
      <c r="F9" s="15" t="s">
        <v>82</v>
      </c>
      <c r="G9" s="16" t="s">
        <v>476</v>
      </c>
      <c r="H9" s="15" t="str">
        <f t="shared" si="0"/>
        <v>0008</v>
      </c>
      <c r="I9" s="18" t="s">
        <v>503</v>
      </c>
      <c r="J9" s="15" t="s">
        <v>63</v>
      </c>
      <c r="K9" s="15" t="s">
        <v>75</v>
      </c>
      <c r="L9" s="15" t="s">
        <v>458</v>
      </c>
      <c r="M9" s="15" t="s">
        <v>460</v>
      </c>
      <c r="N9" s="15" t="s">
        <v>461</v>
      </c>
    </row>
  </sheetData>
  <dataValidations count="2">
    <dataValidation type="list" allowBlank="1" showInputMessage="1" showErrorMessage="1" sqref="G2:G9" xr:uid="{82BE9A07-8A68-45BE-BD2F-1CEFF1DF6DBF}">
      <formula1>"Active, Legacy"</formula1>
    </dataValidation>
    <dataValidation type="list" allowBlank="1" showInputMessage="1" showErrorMessage="1" sqref="F1:F1048576" xr:uid="{525C42F0-43ED-401A-8253-64014311B323}">
      <formula1>"Active, Inactive, Retired"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8" tint="0.79998168889431442"/>
  </sheetPr>
  <dimension ref="A1:K10"/>
  <sheetViews>
    <sheetView zoomScale="120" zoomScaleNormal="120" workbookViewId="0">
      <selection activeCell="I1" sqref="I1:I1048576"/>
    </sheetView>
  </sheetViews>
  <sheetFormatPr defaultRowHeight="15" x14ac:dyDescent="0.25"/>
  <cols>
    <col min="1" max="1" width="17.140625" customWidth="1"/>
    <col min="2" max="2" width="16" customWidth="1"/>
    <col min="3" max="3" width="17.140625" customWidth="1"/>
    <col min="4" max="4" width="17.42578125" customWidth="1"/>
    <col min="5" max="5" width="22.5703125" customWidth="1"/>
    <col min="6" max="6" width="22.140625" customWidth="1"/>
    <col min="7" max="7" width="10" customWidth="1"/>
    <col min="8" max="8" width="21.5703125" customWidth="1"/>
    <col min="9" max="9" width="9.28515625" customWidth="1"/>
    <col min="10" max="10" width="26.5703125" customWidth="1"/>
    <col min="11" max="11" width="16.7109375" customWidth="1"/>
  </cols>
  <sheetData>
    <row r="1" spans="1:11" x14ac:dyDescent="0.25">
      <c r="A1" s="20" t="s">
        <v>4</v>
      </c>
      <c r="B1" s="20" t="s">
        <v>477</v>
      </c>
      <c r="C1" s="20" t="s">
        <v>8</v>
      </c>
      <c r="D1" s="20" t="s">
        <v>478</v>
      </c>
      <c r="E1" s="20" t="s">
        <v>481</v>
      </c>
      <c r="F1" s="20" t="s">
        <v>5</v>
      </c>
      <c r="G1" s="20" t="s">
        <v>6</v>
      </c>
      <c r="H1" s="20" t="s">
        <v>7</v>
      </c>
      <c r="I1" s="20" t="s">
        <v>3</v>
      </c>
      <c r="J1" s="20" t="s">
        <v>9</v>
      </c>
      <c r="K1" s="20" t="s">
        <v>10</v>
      </c>
    </row>
    <row r="2" spans="1:11" x14ac:dyDescent="0.25">
      <c r="A2" s="21" t="s">
        <v>279</v>
      </c>
      <c r="B2" s="21" t="s">
        <v>44</v>
      </c>
      <c r="C2" s="21" t="s">
        <v>283</v>
      </c>
      <c r="D2" s="21" t="s">
        <v>312</v>
      </c>
      <c r="E2" s="21" t="s">
        <v>482</v>
      </c>
      <c r="F2" s="21" t="s">
        <v>280</v>
      </c>
      <c r="G2" s="21" t="s">
        <v>281</v>
      </c>
      <c r="H2" s="21" t="s">
        <v>282</v>
      </c>
      <c r="I2" s="21" t="s">
        <v>284</v>
      </c>
      <c r="J2" s="21" t="s">
        <v>285</v>
      </c>
      <c r="K2" s="21" t="s">
        <v>286</v>
      </c>
    </row>
    <row r="3" spans="1:11" x14ac:dyDescent="0.25">
      <c r="A3" s="21" t="s">
        <v>287</v>
      </c>
      <c r="B3" s="21" t="s">
        <v>45</v>
      </c>
      <c r="C3" s="21" t="s">
        <v>291</v>
      </c>
      <c r="D3" s="21" t="s">
        <v>312</v>
      </c>
      <c r="E3" s="21" t="s">
        <v>482</v>
      </c>
      <c r="F3" s="21" t="s">
        <v>288</v>
      </c>
      <c r="G3" s="21" t="s">
        <v>289</v>
      </c>
      <c r="H3" s="21" t="s">
        <v>290</v>
      </c>
      <c r="I3" s="21" t="s">
        <v>284</v>
      </c>
      <c r="J3" s="21" t="s">
        <v>292</v>
      </c>
      <c r="K3" s="21" t="s">
        <v>293</v>
      </c>
    </row>
    <row r="4" spans="1:11" x14ac:dyDescent="0.25">
      <c r="A4" s="21" t="s">
        <v>294</v>
      </c>
      <c r="B4" s="21" t="s">
        <v>46</v>
      </c>
      <c r="C4" s="21" t="s">
        <v>298</v>
      </c>
      <c r="D4" s="21" t="s">
        <v>480</v>
      </c>
      <c r="E4" s="21" t="s">
        <v>482</v>
      </c>
      <c r="F4" s="21" t="s">
        <v>295</v>
      </c>
      <c r="G4" s="21" t="s">
        <v>296</v>
      </c>
      <c r="H4" s="21" t="s">
        <v>297</v>
      </c>
      <c r="I4" s="21" t="s">
        <v>284</v>
      </c>
      <c r="J4" s="21" t="s">
        <v>299</v>
      </c>
      <c r="K4" s="21" t="s">
        <v>300</v>
      </c>
    </row>
    <row r="5" spans="1:11" x14ac:dyDescent="0.25">
      <c r="A5" s="21" t="s">
        <v>301</v>
      </c>
      <c r="B5" s="21" t="s">
        <v>57</v>
      </c>
      <c r="C5" s="21" t="s">
        <v>304</v>
      </c>
      <c r="D5" s="21" t="s">
        <v>312</v>
      </c>
      <c r="E5" s="21" t="s">
        <v>483</v>
      </c>
      <c r="F5" s="21" t="s">
        <v>302</v>
      </c>
      <c r="G5" s="21" t="s">
        <v>289</v>
      </c>
      <c r="H5" s="21" t="s">
        <v>303</v>
      </c>
      <c r="I5" s="21" t="s">
        <v>305</v>
      </c>
      <c r="J5" s="21" t="s">
        <v>306</v>
      </c>
      <c r="K5" s="21" t="s">
        <v>307</v>
      </c>
    </row>
    <row r="6" spans="1:11" x14ac:dyDescent="0.25">
      <c r="A6" s="21" t="s">
        <v>308</v>
      </c>
      <c r="B6" s="21" t="s">
        <v>58</v>
      </c>
      <c r="C6" s="21" t="s">
        <v>311</v>
      </c>
      <c r="D6" s="21" t="s">
        <v>479</v>
      </c>
      <c r="E6" s="21" t="s">
        <v>482</v>
      </c>
      <c r="F6" s="21" t="s">
        <v>309</v>
      </c>
      <c r="G6" s="21" t="s">
        <v>289</v>
      </c>
      <c r="H6" s="21" t="s">
        <v>310</v>
      </c>
      <c r="I6" s="21" t="s">
        <v>312</v>
      </c>
      <c r="J6" s="21" t="s">
        <v>313</v>
      </c>
      <c r="K6" s="21" t="s">
        <v>314</v>
      </c>
    </row>
    <row r="7" spans="1:11" x14ac:dyDescent="0.25">
      <c r="A7" s="21" t="s">
        <v>315</v>
      </c>
      <c r="B7" s="21" t="s">
        <v>59</v>
      </c>
      <c r="C7" s="21" t="s">
        <v>318</v>
      </c>
      <c r="D7" s="21" t="s">
        <v>480</v>
      </c>
      <c r="E7" s="21" t="s">
        <v>482</v>
      </c>
      <c r="F7" s="21" t="s">
        <v>316</v>
      </c>
      <c r="G7" s="21" t="s">
        <v>281</v>
      </c>
      <c r="H7" s="21" t="s">
        <v>317</v>
      </c>
      <c r="I7" s="21" t="s">
        <v>284</v>
      </c>
      <c r="J7" s="21" t="s">
        <v>319</v>
      </c>
      <c r="K7" s="21" t="s">
        <v>293</v>
      </c>
    </row>
    <row r="8" spans="1:11" x14ac:dyDescent="0.25">
      <c r="A8" s="21" t="s">
        <v>320</v>
      </c>
      <c r="B8" s="21" t="s">
        <v>60</v>
      </c>
      <c r="C8" s="21" t="s">
        <v>323</v>
      </c>
      <c r="D8" s="21" t="s">
        <v>312</v>
      </c>
      <c r="E8" s="21" t="s">
        <v>483</v>
      </c>
      <c r="F8" s="21" t="s">
        <v>321</v>
      </c>
      <c r="G8" s="21" t="s">
        <v>289</v>
      </c>
      <c r="H8" s="21" t="s">
        <v>322</v>
      </c>
      <c r="I8" s="21" t="s">
        <v>284</v>
      </c>
      <c r="J8" s="21" t="s">
        <v>324</v>
      </c>
      <c r="K8" s="21" t="s">
        <v>293</v>
      </c>
    </row>
    <row r="9" spans="1:11" x14ac:dyDescent="0.25">
      <c r="A9" s="21" t="s">
        <v>325</v>
      </c>
      <c r="B9" s="21" t="s">
        <v>51</v>
      </c>
      <c r="C9" s="21" t="s">
        <v>328</v>
      </c>
      <c r="D9" s="21" t="s">
        <v>312</v>
      </c>
      <c r="E9" s="21" t="s">
        <v>483</v>
      </c>
      <c r="F9" s="21" t="s">
        <v>326</v>
      </c>
      <c r="G9" s="21" t="s">
        <v>296</v>
      </c>
      <c r="H9" s="21" t="s">
        <v>327</v>
      </c>
      <c r="I9" s="21" t="s">
        <v>500</v>
      </c>
      <c r="J9" s="21" t="s">
        <v>329</v>
      </c>
      <c r="K9" s="21" t="s">
        <v>330</v>
      </c>
    </row>
    <row r="10" spans="1:11" x14ac:dyDescent="0.25">
      <c r="A10" s="21" t="s">
        <v>331</v>
      </c>
      <c r="B10" s="21" t="s">
        <v>52</v>
      </c>
      <c r="C10" s="21" t="s">
        <v>328</v>
      </c>
      <c r="D10" s="21" t="s">
        <v>312</v>
      </c>
      <c r="E10" s="21" t="s">
        <v>483</v>
      </c>
      <c r="F10" s="21" t="s">
        <v>326</v>
      </c>
      <c r="G10" s="21" t="s">
        <v>382</v>
      </c>
      <c r="H10" s="21" t="s">
        <v>327</v>
      </c>
      <c r="I10" s="21" t="s">
        <v>500</v>
      </c>
      <c r="J10" s="21" t="s">
        <v>329</v>
      </c>
      <c r="K10" s="21" t="s">
        <v>332</v>
      </c>
    </row>
  </sheetData>
  <dataValidations count="4">
    <dataValidation type="list" allowBlank="1" showInputMessage="1" showErrorMessage="1" sqref="D1:D1048576" xr:uid="{1C8907BA-25E2-45D4-86A3-72F10A5FBC8C}">
      <formula1>"Resolved, Unresolved, In-progress"</formula1>
    </dataValidation>
    <dataValidation type="list" allowBlank="1" showInputMessage="1" showErrorMessage="1" sqref="E1:E1048576" xr:uid="{52A241E6-7B12-4AD8-B9DB-006CDC626D21}">
      <formula1>"CVE, Internal Scan"</formula1>
    </dataValidation>
    <dataValidation type="list" allowBlank="1" showInputMessage="1" showErrorMessage="1" sqref="G1:G1048576" xr:uid="{F1F50ED2-20C7-4DC4-915A-4E12E10E15AA}">
      <formula1>"Low, Medium, High, Critical"</formula1>
    </dataValidation>
    <dataValidation type="list" allowBlank="1" showInputMessage="1" showErrorMessage="1" sqref="I1:I1048576" xr:uid="{10DA9D6E-8DC8-4AEE-B7B5-5F989BA869F6}">
      <formula1>"Open, In Progress, Resolved, Closed"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0.79998168889431442"/>
  </sheetPr>
  <dimension ref="A1:H10"/>
  <sheetViews>
    <sheetView zoomScaleNormal="100" workbookViewId="0">
      <selection activeCell="C9" sqref="C9"/>
    </sheetView>
  </sheetViews>
  <sheetFormatPr defaultRowHeight="15" x14ac:dyDescent="0.25"/>
  <cols>
    <col min="1" max="1" width="18.7109375" customWidth="1"/>
    <col min="2" max="2" width="27.140625" customWidth="1"/>
    <col min="3" max="3" width="23.140625" customWidth="1"/>
    <col min="4" max="4" width="23" customWidth="1"/>
    <col min="5" max="5" width="20.42578125" customWidth="1"/>
    <col min="6" max="6" width="24.7109375" customWidth="1"/>
    <col min="7" max="7" width="32.85546875" customWidth="1"/>
    <col min="8" max="8" width="38.140625" customWidth="1"/>
    <col min="9" max="11" width="34.5703125" customWidth="1"/>
  </cols>
  <sheetData>
    <row r="1" spans="1:8" x14ac:dyDescent="0.25">
      <c r="A1" s="1" t="s">
        <v>11</v>
      </c>
      <c r="B1" s="1" t="s">
        <v>12</v>
      </c>
      <c r="C1" s="1" t="s">
        <v>484</v>
      </c>
      <c r="D1" s="1" t="s">
        <v>14</v>
      </c>
      <c r="E1" s="1" t="s">
        <v>15</v>
      </c>
      <c r="F1" s="1" t="s">
        <v>13</v>
      </c>
      <c r="G1" s="1" t="s">
        <v>16</v>
      </c>
      <c r="H1" s="1" t="s">
        <v>17</v>
      </c>
    </row>
    <row r="2" spans="1:8" x14ac:dyDescent="0.25">
      <c r="A2" t="s">
        <v>333</v>
      </c>
      <c r="B2" t="s">
        <v>370</v>
      </c>
      <c r="C2" t="s">
        <v>44</v>
      </c>
      <c r="D2" t="s">
        <v>343</v>
      </c>
      <c r="E2" t="s">
        <v>344</v>
      </c>
      <c r="F2" t="s">
        <v>342</v>
      </c>
      <c r="G2" s="2" t="s">
        <v>104</v>
      </c>
      <c r="H2" t="s">
        <v>345</v>
      </c>
    </row>
    <row r="3" spans="1:8" x14ac:dyDescent="0.25">
      <c r="A3" t="s">
        <v>334</v>
      </c>
      <c r="B3" t="s">
        <v>371</v>
      </c>
      <c r="C3" t="s">
        <v>45</v>
      </c>
      <c r="D3" t="s">
        <v>343</v>
      </c>
      <c r="E3" t="s">
        <v>348</v>
      </c>
      <c r="F3" t="s">
        <v>346</v>
      </c>
      <c r="G3" t="s">
        <v>349</v>
      </c>
      <c r="H3" t="s">
        <v>350</v>
      </c>
    </row>
    <row r="4" spans="1:8" x14ac:dyDescent="0.25">
      <c r="A4" t="s">
        <v>335</v>
      </c>
      <c r="B4" t="s">
        <v>374</v>
      </c>
      <c r="C4" t="s">
        <v>46</v>
      </c>
      <c r="D4" t="s">
        <v>343</v>
      </c>
      <c r="E4" t="s">
        <v>306</v>
      </c>
      <c r="F4" t="s">
        <v>351</v>
      </c>
      <c r="G4" t="s">
        <v>119</v>
      </c>
      <c r="H4" t="s">
        <v>352</v>
      </c>
    </row>
    <row r="5" spans="1:8" x14ac:dyDescent="0.25">
      <c r="A5" t="s">
        <v>336</v>
      </c>
      <c r="B5" t="s">
        <v>372</v>
      </c>
      <c r="C5" t="s">
        <v>57</v>
      </c>
      <c r="D5" t="s">
        <v>343</v>
      </c>
      <c r="E5" t="s">
        <v>285</v>
      </c>
      <c r="F5" t="s">
        <v>353</v>
      </c>
      <c r="G5" t="s">
        <v>119</v>
      </c>
      <c r="H5" t="s">
        <v>354</v>
      </c>
    </row>
    <row r="6" spans="1:8" x14ac:dyDescent="0.25">
      <c r="A6" t="s">
        <v>337</v>
      </c>
      <c r="B6" t="s">
        <v>373</v>
      </c>
      <c r="C6" t="s">
        <v>58</v>
      </c>
      <c r="D6" t="s">
        <v>343</v>
      </c>
      <c r="E6" t="s">
        <v>356</v>
      </c>
      <c r="F6" t="s">
        <v>355</v>
      </c>
      <c r="G6" t="s">
        <v>119</v>
      </c>
      <c r="H6" t="s">
        <v>357</v>
      </c>
    </row>
    <row r="7" spans="1:8" x14ac:dyDescent="0.25">
      <c r="A7" t="s">
        <v>338</v>
      </c>
      <c r="B7" t="s">
        <v>370</v>
      </c>
      <c r="C7" t="s">
        <v>59</v>
      </c>
      <c r="D7" t="s">
        <v>343</v>
      </c>
      <c r="E7" t="s">
        <v>359</v>
      </c>
      <c r="F7" t="s">
        <v>358</v>
      </c>
      <c r="G7" t="s">
        <v>485</v>
      </c>
      <c r="H7" t="s">
        <v>360</v>
      </c>
    </row>
    <row r="8" spans="1:8" x14ac:dyDescent="0.25">
      <c r="A8" t="s">
        <v>339</v>
      </c>
      <c r="B8" t="s">
        <v>371</v>
      </c>
      <c r="C8" t="s">
        <v>60</v>
      </c>
      <c r="D8" t="s">
        <v>501</v>
      </c>
      <c r="E8" t="s">
        <v>323</v>
      </c>
      <c r="F8" t="s">
        <v>361</v>
      </c>
      <c r="G8" s="2" t="s">
        <v>486</v>
      </c>
      <c r="H8" t="s">
        <v>362</v>
      </c>
    </row>
    <row r="9" spans="1:8" x14ac:dyDescent="0.25">
      <c r="A9" t="s">
        <v>340</v>
      </c>
      <c r="B9" t="s">
        <v>375</v>
      </c>
      <c r="C9" t="s">
        <v>51</v>
      </c>
      <c r="D9" t="s">
        <v>343</v>
      </c>
      <c r="E9" t="s">
        <v>299</v>
      </c>
      <c r="F9" t="s">
        <v>363</v>
      </c>
      <c r="G9" t="s">
        <v>364</v>
      </c>
      <c r="H9" t="s">
        <v>365</v>
      </c>
    </row>
    <row r="10" spans="1:8" x14ac:dyDescent="0.25">
      <c r="A10" t="s">
        <v>341</v>
      </c>
      <c r="B10" t="s">
        <v>375</v>
      </c>
      <c r="C10" t="s">
        <v>52</v>
      </c>
      <c r="D10" t="s">
        <v>347</v>
      </c>
      <c r="E10" t="s">
        <v>367</v>
      </c>
      <c r="F10" t="s">
        <v>366</v>
      </c>
      <c r="G10" t="s">
        <v>368</v>
      </c>
      <c r="H10" t="s">
        <v>369</v>
      </c>
    </row>
  </sheetData>
  <dataValidations count="1">
    <dataValidation type="list" allowBlank="1" showInputMessage="1" showErrorMessage="1" sqref="D1:D1048576" xr:uid="{191A6B55-8E75-4087-87D1-C29AD0AABF31}">
      <formula1>"Compliant, Non-Compliant, Pending"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 tint="0.79998168889431442"/>
  </sheetPr>
  <dimension ref="A1:J10"/>
  <sheetViews>
    <sheetView zoomScale="80" zoomScaleNormal="80" workbookViewId="0">
      <selection activeCell="C8" sqref="C8"/>
    </sheetView>
  </sheetViews>
  <sheetFormatPr defaultRowHeight="15" x14ac:dyDescent="0.25"/>
  <cols>
    <col min="1" max="3" width="18.7109375" customWidth="1"/>
    <col min="4" max="4" width="26" customWidth="1"/>
    <col min="5" max="5" width="20.42578125" customWidth="1"/>
    <col min="6" max="6" width="34.28515625" customWidth="1"/>
    <col min="7" max="7" width="16.42578125" customWidth="1"/>
    <col min="8" max="8" width="17.85546875" customWidth="1"/>
    <col min="9" max="9" width="18" customWidth="1"/>
    <col min="10" max="10" width="11.85546875" customWidth="1"/>
  </cols>
  <sheetData>
    <row r="1" spans="1:10" x14ac:dyDescent="0.25">
      <c r="A1" s="10" t="s">
        <v>18</v>
      </c>
      <c r="B1" s="10" t="s">
        <v>19</v>
      </c>
      <c r="C1" s="10" t="s">
        <v>20</v>
      </c>
      <c r="D1" s="1" t="s">
        <v>484</v>
      </c>
      <c r="E1" s="11" t="s">
        <v>21</v>
      </c>
      <c r="F1" s="10" t="s">
        <v>24</v>
      </c>
      <c r="G1" s="10" t="s">
        <v>22</v>
      </c>
      <c r="H1" s="11" t="s">
        <v>487</v>
      </c>
      <c r="I1" s="10" t="s">
        <v>23</v>
      </c>
      <c r="J1" s="10" t="s">
        <v>3</v>
      </c>
    </row>
    <row r="2" spans="1:10" ht="15" customHeight="1" x14ac:dyDescent="0.25">
      <c r="A2" s="5" t="s">
        <v>376</v>
      </c>
      <c r="B2" s="5" t="s">
        <v>506</v>
      </c>
      <c r="C2" s="5" t="s">
        <v>296</v>
      </c>
      <c r="D2" s="5" t="s">
        <v>44</v>
      </c>
      <c r="E2" s="6" t="s">
        <v>377</v>
      </c>
      <c r="F2" s="5" t="s">
        <v>380</v>
      </c>
      <c r="G2" s="5" t="s">
        <v>378</v>
      </c>
      <c r="H2" s="6" t="s">
        <v>380</v>
      </c>
      <c r="I2" s="5" t="s">
        <v>379</v>
      </c>
      <c r="J2" s="5" t="s">
        <v>312</v>
      </c>
    </row>
    <row r="3" spans="1:10" ht="15" customHeight="1" x14ac:dyDescent="0.25">
      <c r="A3" s="5" t="s">
        <v>381</v>
      </c>
      <c r="B3" s="5" t="s">
        <v>507</v>
      </c>
      <c r="C3" s="5" t="s">
        <v>382</v>
      </c>
      <c r="D3" s="5" t="s">
        <v>45</v>
      </c>
      <c r="E3" s="6" t="s">
        <v>383</v>
      </c>
      <c r="F3" s="5" t="s">
        <v>386</v>
      </c>
      <c r="G3" s="5" t="s">
        <v>384</v>
      </c>
      <c r="H3" s="6" t="s">
        <v>488</v>
      </c>
      <c r="I3" s="5" t="s">
        <v>385</v>
      </c>
      <c r="J3" s="5" t="s">
        <v>312</v>
      </c>
    </row>
    <row r="4" spans="1:10" ht="15" customHeight="1" x14ac:dyDescent="0.25">
      <c r="A4" s="5" t="s">
        <v>387</v>
      </c>
      <c r="B4" s="5" t="s">
        <v>507</v>
      </c>
      <c r="C4" s="5" t="s">
        <v>296</v>
      </c>
      <c r="D4" s="5" t="s">
        <v>46</v>
      </c>
      <c r="E4" s="6" t="s">
        <v>388</v>
      </c>
      <c r="F4" s="5" t="s">
        <v>391</v>
      </c>
      <c r="G4" s="5" t="s">
        <v>389</v>
      </c>
      <c r="H4" s="6" t="s">
        <v>489</v>
      </c>
      <c r="I4" s="5" t="s">
        <v>390</v>
      </c>
      <c r="J4" s="5" t="s">
        <v>312</v>
      </c>
    </row>
    <row r="5" spans="1:10" ht="15" customHeight="1" x14ac:dyDescent="0.25">
      <c r="A5" s="5" t="s">
        <v>392</v>
      </c>
      <c r="B5" s="5" t="s">
        <v>506</v>
      </c>
      <c r="C5" s="5" t="s">
        <v>289</v>
      </c>
      <c r="D5" s="5" t="s">
        <v>57</v>
      </c>
      <c r="E5" s="6" t="s">
        <v>393</v>
      </c>
      <c r="F5" s="5" t="s">
        <v>395</v>
      </c>
      <c r="G5" s="5" t="s">
        <v>356</v>
      </c>
      <c r="H5" s="6" t="s">
        <v>490</v>
      </c>
      <c r="I5" s="5" t="s">
        <v>394</v>
      </c>
      <c r="J5" s="5" t="s">
        <v>312</v>
      </c>
    </row>
    <row r="6" spans="1:10" ht="30" customHeight="1" x14ac:dyDescent="0.25">
      <c r="A6" s="5" t="s">
        <v>396</v>
      </c>
      <c r="B6" s="5" t="s">
        <v>506</v>
      </c>
      <c r="C6" s="5" t="s">
        <v>382</v>
      </c>
      <c r="D6" s="5" t="s">
        <v>58</v>
      </c>
      <c r="E6" s="6" t="s">
        <v>397</v>
      </c>
      <c r="F6" s="5" t="s">
        <v>399</v>
      </c>
      <c r="G6" s="5" t="s">
        <v>398</v>
      </c>
      <c r="H6" s="6" t="s">
        <v>491</v>
      </c>
      <c r="I6" s="5" t="s">
        <v>292</v>
      </c>
      <c r="J6" s="5" t="s">
        <v>312</v>
      </c>
    </row>
    <row r="7" spans="1:10" ht="30" customHeight="1" x14ac:dyDescent="0.25">
      <c r="A7" s="5" t="s">
        <v>400</v>
      </c>
      <c r="B7" s="5" t="s">
        <v>401</v>
      </c>
      <c r="C7" s="5" t="s">
        <v>296</v>
      </c>
      <c r="D7" s="5" t="s">
        <v>59</v>
      </c>
      <c r="E7" s="6" t="s">
        <v>402</v>
      </c>
      <c r="F7" s="5" t="s">
        <v>404</v>
      </c>
      <c r="G7" s="5" t="s">
        <v>403</v>
      </c>
      <c r="H7" s="6" t="s">
        <v>492</v>
      </c>
      <c r="I7" s="5" t="s">
        <v>344</v>
      </c>
      <c r="J7" s="5" t="s">
        <v>312</v>
      </c>
    </row>
    <row r="8" spans="1:10" ht="30" customHeight="1" x14ac:dyDescent="0.25">
      <c r="A8" s="5" t="s">
        <v>405</v>
      </c>
      <c r="B8" s="5" t="s">
        <v>507</v>
      </c>
      <c r="C8" s="5" t="s">
        <v>289</v>
      </c>
      <c r="D8" s="5" t="s">
        <v>60</v>
      </c>
      <c r="E8" s="6" t="s">
        <v>406</v>
      </c>
      <c r="F8" s="6" t="s">
        <v>408</v>
      </c>
      <c r="G8" s="5" t="s">
        <v>283</v>
      </c>
      <c r="H8" s="6" t="s">
        <v>493</v>
      </c>
      <c r="I8" s="5" t="s">
        <v>407</v>
      </c>
      <c r="J8" s="5" t="s">
        <v>312</v>
      </c>
    </row>
    <row r="9" spans="1:10" ht="30" customHeight="1" x14ac:dyDescent="0.25">
      <c r="A9" s="5" t="s">
        <v>409</v>
      </c>
      <c r="B9" s="5" t="s">
        <v>507</v>
      </c>
      <c r="C9" s="5" t="s">
        <v>296</v>
      </c>
      <c r="D9" s="5" t="s">
        <v>51</v>
      </c>
      <c r="E9" s="6" t="s">
        <v>410</v>
      </c>
      <c r="F9" s="6" t="s">
        <v>413</v>
      </c>
      <c r="G9" s="5" t="s">
        <v>411</v>
      </c>
      <c r="H9" s="6" t="s">
        <v>494</v>
      </c>
      <c r="I9" s="5" t="s">
        <v>412</v>
      </c>
      <c r="J9" s="5" t="s">
        <v>312</v>
      </c>
    </row>
    <row r="10" spans="1:10" ht="15" customHeight="1" x14ac:dyDescent="0.25">
      <c r="A10" s="5" t="s">
        <v>414</v>
      </c>
      <c r="B10" s="5" t="s">
        <v>506</v>
      </c>
      <c r="C10" s="5" t="s">
        <v>382</v>
      </c>
      <c r="D10" s="5" t="s">
        <v>52</v>
      </c>
      <c r="E10" s="6" t="s">
        <v>415</v>
      </c>
      <c r="F10" s="6" t="s">
        <v>418</v>
      </c>
      <c r="G10" s="5" t="s">
        <v>416</v>
      </c>
      <c r="H10" s="6" t="s">
        <v>495</v>
      </c>
      <c r="I10" s="5" t="s">
        <v>417</v>
      </c>
      <c r="J10" s="5" t="s">
        <v>312</v>
      </c>
    </row>
  </sheetData>
  <dataValidations count="2">
    <dataValidation type="list" allowBlank="1" showInputMessage="1" showErrorMessage="1" sqref="B1:B1048576" xr:uid="{02CAA1BA-8A4B-4A4B-9D5D-B7668DEC7FB2}">
      <formula1>"Security Breach, Service Outage, Data Loss"</formula1>
    </dataValidation>
    <dataValidation type="list" allowBlank="1" showInputMessage="1" showErrorMessage="1" sqref="C1:C1048576" xr:uid="{85470EE5-3A3F-4411-AF91-1BA9B05E8942}">
      <formula1>"Critical, High, Medium, Low"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5" tint="0.79998168889431442"/>
  </sheetPr>
  <dimension ref="A1:H41"/>
  <sheetViews>
    <sheetView workbookViewId="0">
      <selection activeCell="N25" sqref="M25:N25"/>
    </sheetView>
  </sheetViews>
  <sheetFormatPr defaultRowHeight="15" x14ac:dyDescent="0.25"/>
  <cols>
    <col min="1" max="1" width="13" customWidth="1"/>
    <col min="2" max="2" width="23.140625" customWidth="1"/>
    <col min="3" max="4" width="18.28515625" customWidth="1"/>
    <col min="5" max="5" width="14.42578125" customWidth="1"/>
    <col min="6" max="6" width="20" customWidth="1"/>
    <col min="7" max="7" width="21.85546875" customWidth="1"/>
    <col min="8" max="8" width="19.140625" customWidth="1"/>
  </cols>
  <sheetData>
    <row r="1" spans="1:8" x14ac:dyDescent="0.25">
      <c r="A1" s="1" t="s">
        <v>25</v>
      </c>
      <c r="B1" s="1" t="s">
        <v>27</v>
      </c>
      <c r="C1" s="1" t="s">
        <v>29</v>
      </c>
      <c r="D1" s="1" t="s">
        <v>502</v>
      </c>
      <c r="E1" s="1" t="s">
        <v>37</v>
      </c>
      <c r="F1" s="1" t="s">
        <v>26</v>
      </c>
      <c r="G1" s="1" t="s">
        <v>28</v>
      </c>
      <c r="H1" s="1" t="s">
        <v>30</v>
      </c>
    </row>
    <row r="2" spans="1:8" x14ac:dyDescent="0.25">
      <c r="A2" t="s">
        <v>76</v>
      </c>
      <c r="B2" t="s">
        <v>78</v>
      </c>
      <c r="C2" t="s">
        <v>81</v>
      </c>
      <c r="D2" t="s">
        <v>80</v>
      </c>
      <c r="E2" t="str">
        <f xml:space="preserve"> "EP_" &amp; A2</f>
        <v>EP_U001</v>
      </c>
      <c r="F2" t="s">
        <v>77</v>
      </c>
      <c r="G2" t="s">
        <v>79</v>
      </c>
      <c r="H2" t="s">
        <v>82</v>
      </c>
    </row>
    <row r="3" spans="1:8" x14ac:dyDescent="0.25">
      <c r="A3" t="s">
        <v>83</v>
      </c>
      <c r="B3" t="s">
        <v>85</v>
      </c>
      <c r="C3" t="s">
        <v>278</v>
      </c>
      <c r="D3" t="s">
        <v>87</v>
      </c>
      <c r="E3" t="str">
        <f t="shared" ref="E3:E41" si="0" xml:space="preserve"> "EP_" &amp; A3</f>
        <v>EP_U002</v>
      </c>
      <c r="F3" t="s">
        <v>84</v>
      </c>
      <c r="G3" t="s">
        <v>86</v>
      </c>
      <c r="H3" t="s">
        <v>82</v>
      </c>
    </row>
    <row r="4" spans="1:8" x14ac:dyDescent="0.25">
      <c r="A4" t="s">
        <v>88</v>
      </c>
      <c r="B4" t="s">
        <v>90</v>
      </c>
      <c r="C4" t="s">
        <v>278</v>
      </c>
      <c r="D4" t="s">
        <v>92</v>
      </c>
      <c r="E4" t="str">
        <f t="shared" si="0"/>
        <v>EP_U003</v>
      </c>
      <c r="F4" t="s">
        <v>89</v>
      </c>
      <c r="G4" t="s">
        <v>91</v>
      </c>
      <c r="H4" t="s">
        <v>277</v>
      </c>
    </row>
    <row r="5" spans="1:8" x14ac:dyDescent="0.25">
      <c r="A5" t="s">
        <v>93</v>
      </c>
      <c r="B5" t="s">
        <v>95</v>
      </c>
      <c r="C5" t="s">
        <v>81</v>
      </c>
      <c r="D5" t="s">
        <v>97</v>
      </c>
      <c r="E5" t="str">
        <f t="shared" si="0"/>
        <v>EP_U004</v>
      </c>
      <c r="F5" t="s">
        <v>94</v>
      </c>
      <c r="G5" t="s">
        <v>96</v>
      </c>
      <c r="H5" t="s">
        <v>82</v>
      </c>
    </row>
    <row r="6" spans="1:8" x14ac:dyDescent="0.25">
      <c r="A6" t="s">
        <v>98</v>
      </c>
      <c r="B6" t="s">
        <v>100</v>
      </c>
      <c r="C6" t="s">
        <v>504</v>
      </c>
      <c r="D6" t="s">
        <v>102</v>
      </c>
      <c r="E6" t="str">
        <f t="shared" si="0"/>
        <v>EP_U005</v>
      </c>
      <c r="F6" t="s">
        <v>99</v>
      </c>
      <c r="G6" t="s">
        <v>101</v>
      </c>
      <c r="H6" t="s">
        <v>82</v>
      </c>
    </row>
    <row r="7" spans="1:8" x14ac:dyDescent="0.25">
      <c r="A7" t="s">
        <v>103</v>
      </c>
      <c r="B7" t="s">
        <v>105</v>
      </c>
      <c r="C7" t="s">
        <v>81</v>
      </c>
      <c r="D7" t="s">
        <v>107</v>
      </c>
      <c r="E7" t="str">
        <f t="shared" si="0"/>
        <v>EP_U006</v>
      </c>
      <c r="F7" t="s">
        <v>104</v>
      </c>
      <c r="G7" t="s">
        <v>106</v>
      </c>
      <c r="H7" t="s">
        <v>82</v>
      </c>
    </row>
    <row r="8" spans="1:8" x14ac:dyDescent="0.25">
      <c r="A8" t="s">
        <v>108</v>
      </c>
      <c r="B8" t="s">
        <v>110</v>
      </c>
      <c r="C8" t="s">
        <v>278</v>
      </c>
      <c r="D8" t="s">
        <v>112</v>
      </c>
      <c r="E8" t="str">
        <f t="shared" si="0"/>
        <v>EP_U007</v>
      </c>
      <c r="F8" t="s">
        <v>109</v>
      </c>
      <c r="G8" t="s">
        <v>111</v>
      </c>
      <c r="H8" t="s">
        <v>277</v>
      </c>
    </row>
    <row r="9" spans="1:8" x14ac:dyDescent="0.25">
      <c r="A9" t="s">
        <v>113</v>
      </c>
      <c r="B9" t="s">
        <v>115</v>
      </c>
      <c r="C9" t="s">
        <v>278</v>
      </c>
      <c r="D9" t="s">
        <v>117</v>
      </c>
      <c r="E9" t="str">
        <f t="shared" si="0"/>
        <v>EP_U008</v>
      </c>
      <c r="F9" t="s">
        <v>114</v>
      </c>
      <c r="G9" t="s">
        <v>116</v>
      </c>
      <c r="H9" t="s">
        <v>82</v>
      </c>
    </row>
    <row r="10" spans="1:8" x14ac:dyDescent="0.25">
      <c r="A10" t="s">
        <v>118</v>
      </c>
      <c r="B10" t="s">
        <v>120</v>
      </c>
      <c r="C10" t="s">
        <v>81</v>
      </c>
      <c r="D10" t="s">
        <v>122</v>
      </c>
      <c r="E10" t="str">
        <f t="shared" si="0"/>
        <v>EP_U009</v>
      </c>
      <c r="F10" t="s">
        <v>119</v>
      </c>
      <c r="G10" t="s">
        <v>121</v>
      </c>
      <c r="H10" t="s">
        <v>82</v>
      </c>
    </row>
    <row r="11" spans="1:8" x14ac:dyDescent="0.25">
      <c r="A11" t="s">
        <v>123</v>
      </c>
      <c r="B11" t="s">
        <v>125</v>
      </c>
      <c r="C11" t="s">
        <v>278</v>
      </c>
      <c r="D11" t="s">
        <v>127</v>
      </c>
      <c r="E11" t="str">
        <f t="shared" si="0"/>
        <v>EP_U010</v>
      </c>
      <c r="F11" t="s">
        <v>124</v>
      </c>
      <c r="G11" t="s">
        <v>126</v>
      </c>
      <c r="H11" t="s">
        <v>82</v>
      </c>
    </row>
    <row r="12" spans="1:8" x14ac:dyDescent="0.25">
      <c r="A12" t="s">
        <v>128</v>
      </c>
      <c r="B12" t="s">
        <v>130</v>
      </c>
      <c r="C12" t="s">
        <v>278</v>
      </c>
      <c r="D12" t="s">
        <v>132</v>
      </c>
      <c r="E12" t="str">
        <f t="shared" si="0"/>
        <v>EP_U011</v>
      </c>
      <c r="F12" t="s">
        <v>129</v>
      </c>
      <c r="G12" t="s">
        <v>131</v>
      </c>
      <c r="H12" t="s">
        <v>82</v>
      </c>
    </row>
    <row r="13" spans="1:8" x14ac:dyDescent="0.25">
      <c r="A13" t="s">
        <v>133</v>
      </c>
      <c r="B13" t="s">
        <v>135</v>
      </c>
      <c r="C13" t="s">
        <v>81</v>
      </c>
      <c r="D13" t="s">
        <v>137</v>
      </c>
      <c r="E13" t="str">
        <f t="shared" si="0"/>
        <v>EP_U012</v>
      </c>
      <c r="F13" t="s">
        <v>134</v>
      </c>
      <c r="G13" t="s">
        <v>136</v>
      </c>
      <c r="H13" t="s">
        <v>82</v>
      </c>
    </row>
    <row r="14" spans="1:8" x14ac:dyDescent="0.25">
      <c r="A14" t="s">
        <v>138</v>
      </c>
      <c r="B14" t="s">
        <v>140</v>
      </c>
      <c r="C14" t="s">
        <v>278</v>
      </c>
      <c r="D14" t="s">
        <v>142</v>
      </c>
      <c r="E14" t="str">
        <f t="shared" si="0"/>
        <v>EP_U013</v>
      </c>
      <c r="F14" t="s">
        <v>139</v>
      </c>
      <c r="G14" t="s">
        <v>141</v>
      </c>
      <c r="H14" t="s">
        <v>277</v>
      </c>
    </row>
    <row r="15" spans="1:8" x14ac:dyDescent="0.25">
      <c r="A15" t="s">
        <v>143</v>
      </c>
      <c r="B15" t="s">
        <v>145</v>
      </c>
      <c r="C15" t="s">
        <v>278</v>
      </c>
      <c r="D15" t="s">
        <v>147</v>
      </c>
      <c r="E15" t="str">
        <f t="shared" si="0"/>
        <v>EP_U014</v>
      </c>
      <c r="F15" t="s">
        <v>144</v>
      </c>
      <c r="G15" t="s">
        <v>146</v>
      </c>
      <c r="H15" t="s">
        <v>82</v>
      </c>
    </row>
    <row r="16" spans="1:8" x14ac:dyDescent="0.25">
      <c r="A16" t="s">
        <v>148</v>
      </c>
      <c r="B16" t="s">
        <v>150</v>
      </c>
      <c r="C16" t="s">
        <v>81</v>
      </c>
      <c r="D16" t="s">
        <v>152</v>
      </c>
      <c r="E16" t="str">
        <f t="shared" si="0"/>
        <v>EP_U015</v>
      </c>
      <c r="F16" t="s">
        <v>149</v>
      </c>
      <c r="G16" t="s">
        <v>151</v>
      </c>
      <c r="H16" t="s">
        <v>82</v>
      </c>
    </row>
    <row r="17" spans="1:8" x14ac:dyDescent="0.25">
      <c r="A17" t="s">
        <v>153</v>
      </c>
      <c r="B17" t="s">
        <v>155</v>
      </c>
      <c r="C17" t="s">
        <v>278</v>
      </c>
      <c r="D17" t="s">
        <v>157</v>
      </c>
      <c r="E17" t="str">
        <f t="shared" si="0"/>
        <v>EP_U016</v>
      </c>
      <c r="F17" t="s">
        <v>154</v>
      </c>
      <c r="G17" t="s">
        <v>156</v>
      </c>
      <c r="H17" t="s">
        <v>82</v>
      </c>
    </row>
    <row r="18" spans="1:8" x14ac:dyDescent="0.25">
      <c r="A18" t="s">
        <v>158</v>
      </c>
      <c r="B18" t="s">
        <v>160</v>
      </c>
      <c r="C18" t="s">
        <v>278</v>
      </c>
      <c r="D18" t="s">
        <v>162</v>
      </c>
      <c r="E18" t="str">
        <f t="shared" si="0"/>
        <v>EP_U017</v>
      </c>
      <c r="F18" t="s">
        <v>159</v>
      </c>
      <c r="G18" t="s">
        <v>161</v>
      </c>
      <c r="H18" t="s">
        <v>82</v>
      </c>
    </row>
    <row r="19" spans="1:8" x14ac:dyDescent="0.25">
      <c r="A19" t="s">
        <v>163</v>
      </c>
      <c r="B19" t="s">
        <v>165</v>
      </c>
      <c r="C19" t="s">
        <v>81</v>
      </c>
      <c r="D19" t="s">
        <v>167</v>
      </c>
      <c r="E19" t="str">
        <f t="shared" si="0"/>
        <v>EP_U018</v>
      </c>
      <c r="F19" t="s">
        <v>164</v>
      </c>
      <c r="G19" t="s">
        <v>166</v>
      </c>
      <c r="H19" t="s">
        <v>82</v>
      </c>
    </row>
    <row r="20" spans="1:8" x14ac:dyDescent="0.25">
      <c r="A20" t="s">
        <v>168</v>
      </c>
      <c r="B20" t="s">
        <v>170</v>
      </c>
      <c r="C20" t="s">
        <v>278</v>
      </c>
      <c r="D20" t="s">
        <v>172</v>
      </c>
      <c r="E20" t="str">
        <f t="shared" si="0"/>
        <v>EP_U019</v>
      </c>
      <c r="F20" t="s">
        <v>169</v>
      </c>
      <c r="G20" t="s">
        <v>171</v>
      </c>
      <c r="H20" t="s">
        <v>277</v>
      </c>
    </row>
    <row r="21" spans="1:8" x14ac:dyDescent="0.25">
      <c r="A21" t="s">
        <v>173</v>
      </c>
      <c r="B21" t="s">
        <v>175</v>
      </c>
      <c r="C21" t="s">
        <v>81</v>
      </c>
      <c r="D21" t="s">
        <v>177</v>
      </c>
      <c r="E21" t="str">
        <f t="shared" si="0"/>
        <v>EP_U020</v>
      </c>
      <c r="F21" t="s">
        <v>174</v>
      </c>
      <c r="G21" t="s">
        <v>176</v>
      </c>
      <c r="H21" t="s">
        <v>82</v>
      </c>
    </row>
    <row r="22" spans="1:8" x14ac:dyDescent="0.25">
      <c r="A22" t="s">
        <v>178</v>
      </c>
      <c r="B22" t="s">
        <v>180</v>
      </c>
      <c r="C22" t="s">
        <v>81</v>
      </c>
      <c r="D22" t="s">
        <v>182</v>
      </c>
      <c r="E22" t="str">
        <f t="shared" si="0"/>
        <v>EP_U021</v>
      </c>
      <c r="F22" t="s">
        <v>179</v>
      </c>
      <c r="G22" t="s">
        <v>181</v>
      </c>
      <c r="H22" t="s">
        <v>82</v>
      </c>
    </row>
    <row r="23" spans="1:8" x14ac:dyDescent="0.25">
      <c r="A23" t="s">
        <v>183</v>
      </c>
      <c r="B23" t="s">
        <v>185</v>
      </c>
      <c r="C23" t="s">
        <v>81</v>
      </c>
      <c r="D23" t="s">
        <v>187</v>
      </c>
      <c r="E23" t="str">
        <f t="shared" si="0"/>
        <v>EP_U022</v>
      </c>
      <c r="F23" t="s">
        <v>184</v>
      </c>
      <c r="G23" t="s">
        <v>186</v>
      </c>
      <c r="H23" t="s">
        <v>82</v>
      </c>
    </row>
    <row r="24" spans="1:8" x14ac:dyDescent="0.25">
      <c r="A24" t="s">
        <v>188</v>
      </c>
      <c r="B24" t="s">
        <v>190</v>
      </c>
      <c r="C24" t="s">
        <v>278</v>
      </c>
      <c r="D24" t="s">
        <v>192</v>
      </c>
      <c r="E24" t="str">
        <f t="shared" si="0"/>
        <v>EP_U023</v>
      </c>
      <c r="F24" t="s">
        <v>189</v>
      </c>
      <c r="G24" t="s">
        <v>191</v>
      </c>
      <c r="H24" t="s">
        <v>82</v>
      </c>
    </row>
    <row r="25" spans="1:8" x14ac:dyDescent="0.25">
      <c r="A25" t="s">
        <v>193</v>
      </c>
      <c r="B25" t="s">
        <v>195</v>
      </c>
      <c r="C25" t="s">
        <v>81</v>
      </c>
      <c r="D25" t="s">
        <v>197</v>
      </c>
      <c r="E25" t="str">
        <f t="shared" si="0"/>
        <v>EP_U024</v>
      </c>
      <c r="F25" t="s">
        <v>194</v>
      </c>
      <c r="G25" t="s">
        <v>196</v>
      </c>
      <c r="H25" t="s">
        <v>82</v>
      </c>
    </row>
    <row r="26" spans="1:8" x14ac:dyDescent="0.25">
      <c r="A26" t="s">
        <v>198</v>
      </c>
      <c r="B26" t="s">
        <v>200</v>
      </c>
      <c r="C26" t="s">
        <v>278</v>
      </c>
      <c r="D26" t="s">
        <v>202</v>
      </c>
      <c r="E26" t="str">
        <f t="shared" si="0"/>
        <v>EP_U025</v>
      </c>
      <c r="F26" t="s">
        <v>199</v>
      </c>
      <c r="G26" t="s">
        <v>201</v>
      </c>
      <c r="H26" t="s">
        <v>82</v>
      </c>
    </row>
    <row r="27" spans="1:8" x14ac:dyDescent="0.25">
      <c r="A27" t="s">
        <v>203</v>
      </c>
      <c r="B27" t="s">
        <v>205</v>
      </c>
      <c r="C27" t="s">
        <v>278</v>
      </c>
      <c r="D27" t="s">
        <v>207</v>
      </c>
      <c r="E27" t="str">
        <f t="shared" si="0"/>
        <v>EP_U026</v>
      </c>
      <c r="F27" t="s">
        <v>204</v>
      </c>
      <c r="G27" t="s">
        <v>206</v>
      </c>
      <c r="H27" t="s">
        <v>277</v>
      </c>
    </row>
    <row r="28" spans="1:8" x14ac:dyDescent="0.25">
      <c r="A28" t="s">
        <v>208</v>
      </c>
      <c r="B28" t="s">
        <v>210</v>
      </c>
      <c r="C28" t="s">
        <v>81</v>
      </c>
      <c r="D28" t="s">
        <v>212</v>
      </c>
      <c r="E28" t="str">
        <f t="shared" si="0"/>
        <v>EP_U027</v>
      </c>
      <c r="F28" t="s">
        <v>209</v>
      </c>
      <c r="G28" t="s">
        <v>211</v>
      </c>
      <c r="H28" t="s">
        <v>82</v>
      </c>
    </row>
    <row r="29" spans="1:8" x14ac:dyDescent="0.25">
      <c r="A29" t="s">
        <v>213</v>
      </c>
      <c r="B29" t="s">
        <v>215</v>
      </c>
      <c r="C29" t="s">
        <v>278</v>
      </c>
      <c r="D29" t="s">
        <v>217</v>
      </c>
      <c r="E29" t="str">
        <f t="shared" si="0"/>
        <v>EP_U028</v>
      </c>
      <c r="F29" t="s">
        <v>214</v>
      </c>
      <c r="G29" t="s">
        <v>216</v>
      </c>
      <c r="H29" t="s">
        <v>82</v>
      </c>
    </row>
    <row r="30" spans="1:8" x14ac:dyDescent="0.25">
      <c r="A30" t="s">
        <v>218</v>
      </c>
      <c r="B30" t="s">
        <v>220</v>
      </c>
      <c r="C30" t="s">
        <v>81</v>
      </c>
      <c r="D30" t="s">
        <v>222</v>
      </c>
      <c r="E30" t="str">
        <f t="shared" si="0"/>
        <v>EP_U029</v>
      </c>
      <c r="F30" t="s">
        <v>219</v>
      </c>
      <c r="G30" t="s">
        <v>221</v>
      </c>
      <c r="H30" t="s">
        <v>82</v>
      </c>
    </row>
    <row r="31" spans="1:8" x14ac:dyDescent="0.25">
      <c r="A31" t="s">
        <v>223</v>
      </c>
      <c r="B31" t="s">
        <v>225</v>
      </c>
      <c r="C31" t="s">
        <v>278</v>
      </c>
      <c r="D31" t="s">
        <v>227</v>
      </c>
      <c r="E31" t="str">
        <f t="shared" si="0"/>
        <v>EP_U030</v>
      </c>
      <c r="F31" t="s">
        <v>224</v>
      </c>
      <c r="G31" t="s">
        <v>226</v>
      </c>
      <c r="H31" t="s">
        <v>82</v>
      </c>
    </row>
    <row r="32" spans="1:8" x14ac:dyDescent="0.25">
      <c r="A32" t="s">
        <v>228</v>
      </c>
      <c r="B32" t="s">
        <v>230</v>
      </c>
      <c r="C32" t="s">
        <v>278</v>
      </c>
      <c r="D32" t="s">
        <v>232</v>
      </c>
      <c r="E32" t="str">
        <f t="shared" si="0"/>
        <v>EP_U031</v>
      </c>
      <c r="F32" t="s">
        <v>229</v>
      </c>
      <c r="G32" t="s">
        <v>231</v>
      </c>
      <c r="H32" t="s">
        <v>82</v>
      </c>
    </row>
    <row r="33" spans="1:8" x14ac:dyDescent="0.25">
      <c r="A33" t="s">
        <v>233</v>
      </c>
      <c r="B33" t="s">
        <v>235</v>
      </c>
      <c r="C33" t="s">
        <v>278</v>
      </c>
      <c r="D33" t="s">
        <v>237</v>
      </c>
      <c r="E33" t="str">
        <f t="shared" si="0"/>
        <v>EP_U032</v>
      </c>
      <c r="F33" t="s">
        <v>234</v>
      </c>
      <c r="G33" t="s">
        <v>236</v>
      </c>
      <c r="H33" t="s">
        <v>82</v>
      </c>
    </row>
    <row r="34" spans="1:8" x14ac:dyDescent="0.25">
      <c r="A34" t="s">
        <v>238</v>
      </c>
      <c r="B34" t="s">
        <v>240</v>
      </c>
      <c r="C34" t="s">
        <v>278</v>
      </c>
      <c r="D34" t="s">
        <v>242</v>
      </c>
      <c r="E34" t="str">
        <f t="shared" si="0"/>
        <v>EP_U033</v>
      </c>
      <c r="F34" t="s">
        <v>239</v>
      </c>
      <c r="G34" t="s">
        <v>241</v>
      </c>
      <c r="H34" t="s">
        <v>82</v>
      </c>
    </row>
    <row r="35" spans="1:8" x14ac:dyDescent="0.25">
      <c r="A35" t="s">
        <v>243</v>
      </c>
      <c r="B35" t="s">
        <v>245</v>
      </c>
      <c r="C35" t="s">
        <v>81</v>
      </c>
      <c r="D35" t="s">
        <v>247</v>
      </c>
      <c r="E35" t="str">
        <f t="shared" si="0"/>
        <v>EP_U034</v>
      </c>
      <c r="F35" t="s">
        <v>244</v>
      </c>
      <c r="G35" t="s">
        <v>246</v>
      </c>
      <c r="H35" t="s">
        <v>82</v>
      </c>
    </row>
    <row r="36" spans="1:8" x14ac:dyDescent="0.25">
      <c r="A36" t="s">
        <v>248</v>
      </c>
      <c r="B36" t="s">
        <v>250</v>
      </c>
      <c r="C36" t="s">
        <v>278</v>
      </c>
      <c r="D36" t="s">
        <v>252</v>
      </c>
      <c r="E36" t="str">
        <f t="shared" si="0"/>
        <v>EP_U035</v>
      </c>
      <c r="F36" t="s">
        <v>249</v>
      </c>
      <c r="G36" t="s">
        <v>251</v>
      </c>
      <c r="H36" t="s">
        <v>82</v>
      </c>
    </row>
    <row r="37" spans="1:8" x14ac:dyDescent="0.25">
      <c r="A37" t="s">
        <v>253</v>
      </c>
      <c r="B37" t="s">
        <v>255</v>
      </c>
      <c r="C37" t="s">
        <v>278</v>
      </c>
      <c r="D37" t="s">
        <v>257</v>
      </c>
      <c r="E37" t="str">
        <f t="shared" si="0"/>
        <v>EP_U036</v>
      </c>
      <c r="F37" t="s">
        <v>254</v>
      </c>
      <c r="G37" t="s">
        <v>256</v>
      </c>
      <c r="H37" t="s">
        <v>82</v>
      </c>
    </row>
    <row r="38" spans="1:8" x14ac:dyDescent="0.25">
      <c r="A38" t="s">
        <v>258</v>
      </c>
      <c r="B38" t="s">
        <v>175</v>
      </c>
      <c r="C38" t="s">
        <v>81</v>
      </c>
      <c r="D38" t="s">
        <v>261</v>
      </c>
      <c r="E38" t="str">
        <f t="shared" si="0"/>
        <v>EP_U037</v>
      </c>
      <c r="F38" t="s">
        <v>259</v>
      </c>
      <c r="G38" t="s">
        <v>260</v>
      </c>
      <c r="H38" t="s">
        <v>82</v>
      </c>
    </row>
    <row r="39" spans="1:8" x14ac:dyDescent="0.25">
      <c r="A39" t="s">
        <v>262</v>
      </c>
      <c r="B39" t="s">
        <v>264</v>
      </c>
      <c r="C39" t="s">
        <v>278</v>
      </c>
      <c r="D39" t="s">
        <v>266</v>
      </c>
      <c r="E39" t="str">
        <f t="shared" si="0"/>
        <v>EP_U038</v>
      </c>
      <c r="F39" t="s">
        <v>263</v>
      </c>
      <c r="G39" t="s">
        <v>265</v>
      </c>
      <c r="H39" t="s">
        <v>82</v>
      </c>
    </row>
    <row r="40" spans="1:8" x14ac:dyDescent="0.25">
      <c r="A40" t="s">
        <v>267</v>
      </c>
      <c r="B40" t="s">
        <v>269</v>
      </c>
      <c r="C40" t="s">
        <v>278</v>
      </c>
      <c r="D40" t="s">
        <v>271</v>
      </c>
      <c r="E40" t="str">
        <f t="shared" si="0"/>
        <v>EP_U039</v>
      </c>
      <c r="F40" t="s">
        <v>268</v>
      </c>
      <c r="G40" t="s">
        <v>270</v>
      </c>
      <c r="H40" t="s">
        <v>82</v>
      </c>
    </row>
    <row r="41" spans="1:8" x14ac:dyDescent="0.25">
      <c r="A41" t="s">
        <v>272</v>
      </c>
      <c r="B41" t="s">
        <v>274</v>
      </c>
      <c r="C41" t="s">
        <v>278</v>
      </c>
      <c r="D41" t="s">
        <v>276</v>
      </c>
      <c r="E41" t="str">
        <f t="shared" si="0"/>
        <v>EP_U040</v>
      </c>
      <c r="F41" t="s">
        <v>273</v>
      </c>
      <c r="G41" t="s">
        <v>275</v>
      </c>
      <c r="H41" t="s">
        <v>277</v>
      </c>
    </row>
  </sheetData>
  <dataValidations count="1">
    <dataValidation type="list" allowBlank="1" showInputMessage="1" showErrorMessage="1" sqref="C1:C1048576" xr:uid="{5CE32E1E-505B-475F-93CD-22AC4B67DDF3}">
      <formula1>"Admin, User, Viewer"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4" tint="0.79998168889431442"/>
  </sheetPr>
  <dimension ref="A1:J10"/>
  <sheetViews>
    <sheetView tabSelected="1" workbookViewId="0">
      <selection activeCell="K11" sqref="K11"/>
    </sheetView>
  </sheetViews>
  <sheetFormatPr defaultRowHeight="15" x14ac:dyDescent="0.25"/>
  <cols>
    <col min="1" max="1" width="14.5703125" customWidth="1"/>
    <col min="2" max="2" width="17.85546875" customWidth="1"/>
    <col min="3" max="4" width="22.28515625" customWidth="1"/>
    <col min="5" max="5" width="41.28515625" customWidth="1"/>
    <col min="6" max="6" width="17" customWidth="1"/>
    <col min="7" max="7" width="17.28515625" customWidth="1"/>
    <col min="8" max="8" width="16" customWidth="1"/>
    <col min="9" max="9" width="14.85546875" customWidth="1"/>
    <col min="10" max="10" width="22.140625" customWidth="1"/>
    <col min="11" max="11" width="13.7109375" customWidth="1"/>
  </cols>
  <sheetData>
    <row r="1" spans="1:10" ht="15" customHeight="1" x14ac:dyDescent="0.25">
      <c r="A1" s="1" t="s">
        <v>31</v>
      </c>
      <c r="B1" s="4" t="s">
        <v>496</v>
      </c>
      <c r="C1" s="1" t="s">
        <v>36</v>
      </c>
      <c r="D1" s="1" t="s">
        <v>498</v>
      </c>
      <c r="E1" s="4" t="s">
        <v>33</v>
      </c>
      <c r="F1" s="1" t="s">
        <v>32</v>
      </c>
      <c r="G1" s="1" t="s">
        <v>34</v>
      </c>
      <c r="H1" s="1" t="s">
        <v>35</v>
      </c>
      <c r="I1" s="1" t="s">
        <v>3</v>
      </c>
      <c r="J1" s="1" t="s">
        <v>497</v>
      </c>
    </row>
    <row r="2" spans="1:10" ht="15" customHeight="1" x14ac:dyDescent="0.25">
      <c r="A2" t="s">
        <v>419</v>
      </c>
      <c r="B2" s="3" t="s">
        <v>44</v>
      </c>
      <c r="C2" t="s">
        <v>296</v>
      </c>
      <c r="D2" t="s">
        <v>499</v>
      </c>
      <c r="E2" s="3" t="s">
        <v>421</v>
      </c>
      <c r="F2" t="s">
        <v>420</v>
      </c>
      <c r="G2" t="s">
        <v>286</v>
      </c>
      <c r="H2" t="s">
        <v>422</v>
      </c>
      <c r="I2" t="s">
        <v>505</v>
      </c>
      <c r="J2" t="s">
        <v>296</v>
      </c>
    </row>
    <row r="3" spans="1:10" ht="15" customHeight="1" x14ac:dyDescent="0.25">
      <c r="A3" t="s">
        <v>423</v>
      </c>
      <c r="B3" s="3" t="s">
        <v>45</v>
      </c>
      <c r="C3" t="s">
        <v>382</v>
      </c>
      <c r="D3" t="s">
        <v>499</v>
      </c>
      <c r="E3" s="3" t="s">
        <v>425</v>
      </c>
      <c r="F3" t="s">
        <v>424</v>
      </c>
      <c r="G3" t="s">
        <v>293</v>
      </c>
      <c r="H3" t="s">
        <v>426</v>
      </c>
      <c r="I3" t="s">
        <v>505</v>
      </c>
      <c r="J3" t="s">
        <v>382</v>
      </c>
    </row>
    <row r="4" spans="1:10" ht="15" customHeight="1" x14ac:dyDescent="0.25">
      <c r="A4" t="s">
        <v>427</v>
      </c>
      <c r="B4" s="3" t="s">
        <v>46</v>
      </c>
      <c r="C4" t="s">
        <v>382</v>
      </c>
      <c r="D4" t="s">
        <v>499</v>
      </c>
      <c r="E4" s="3" t="s">
        <v>429</v>
      </c>
      <c r="F4" t="s">
        <v>428</v>
      </c>
      <c r="G4" t="s">
        <v>300</v>
      </c>
      <c r="H4" t="s">
        <v>422</v>
      </c>
      <c r="I4" t="s">
        <v>505</v>
      </c>
      <c r="J4" t="s">
        <v>382</v>
      </c>
    </row>
    <row r="5" spans="1:10" ht="15" customHeight="1" x14ac:dyDescent="0.25">
      <c r="A5" t="s">
        <v>430</v>
      </c>
      <c r="B5" s="3" t="s">
        <v>47</v>
      </c>
      <c r="C5" t="s">
        <v>296</v>
      </c>
      <c r="D5" t="s">
        <v>499</v>
      </c>
      <c r="E5" s="3" t="s">
        <v>432</v>
      </c>
      <c r="F5" t="s">
        <v>431</v>
      </c>
      <c r="G5" t="s">
        <v>307</v>
      </c>
      <c r="H5" t="s">
        <v>433</v>
      </c>
      <c r="I5" t="s">
        <v>434</v>
      </c>
      <c r="J5" t="s">
        <v>296</v>
      </c>
    </row>
    <row r="6" spans="1:10" ht="15" customHeight="1" x14ac:dyDescent="0.25">
      <c r="A6" t="s">
        <v>435</v>
      </c>
      <c r="B6" s="3" t="s">
        <v>48</v>
      </c>
      <c r="C6" t="s">
        <v>289</v>
      </c>
      <c r="D6" t="s">
        <v>499</v>
      </c>
      <c r="E6" s="3" t="s">
        <v>437</v>
      </c>
      <c r="F6" t="s">
        <v>436</v>
      </c>
      <c r="G6" t="s">
        <v>314</v>
      </c>
      <c r="H6" t="s">
        <v>438</v>
      </c>
      <c r="I6" t="s">
        <v>505</v>
      </c>
      <c r="J6" t="s">
        <v>289</v>
      </c>
    </row>
    <row r="7" spans="1:10" ht="15" customHeight="1" x14ac:dyDescent="0.25">
      <c r="A7" t="s">
        <v>439</v>
      </c>
      <c r="B7" s="3" t="s">
        <v>49</v>
      </c>
      <c r="C7" t="s">
        <v>296</v>
      </c>
      <c r="D7" t="s">
        <v>499</v>
      </c>
      <c r="E7" s="3" t="s">
        <v>441</v>
      </c>
      <c r="F7" t="s">
        <v>440</v>
      </c>
      <c r="G7" t="s">
        <v>293</v>
      </c>
      <c r="H7" t="s">
        <v>442</v>
      </c>
      <c r="I7" t="s">
        <v>505</v>
      </c>
      <c r="J7" t="s">
        <v>296</v>
      </c>
    </row>
    <row r="8" spans="1:10" ht="15" customHeight="1" x14ac:dyDescent="0.25">
      <c r="A8" t="s">
        <v>443</v>
      </c>
      <c r="B8" s="3" t="s">
        <v>50</v>
      </c>
      <c r="C8" t="s">
        <v>296</v>
      </c>
      <c r="D8" t="s">
        <v>499</v>
      </c>
      <c r="E8" s="3" t="s">
        <v>445</v>
      </c>
      <c r="F8" t="s">
        <v>444</v>
      </c>
      <c r="G8" t="s">
        <v>293</v>
      </c>
      <c r="H8" t="s">
        <v>446</v>
      </c>
      <c r="I8" t="s">
        <v>505</v>
      </c>
      <c r="J8" t="s">
        <v>296</v>
      </c>
    </row>
    <row r="9" spans="1:10" ht="15" customHeight="1" x14ac:dyDescent="0.25">
      <c r="A9" t="s">
        <v>447</v>
      </c>
      <c r="B9" s="3" t="s">
        <v>450</v>
      </c>
      <c r="C9" t="s">
        <v>382</v>
      </c>
      <c r="D9" t="s">
        <v>499</v>
      </c>
      <c r="E9" s="3" t="s">
        <v>449</v>
      </c>
      <c r="F9" t="s">
        <v>448</v>
      </c>
      <c r="G9" t="s">
        <v>286</v>
      </c>
      <c r="H9" t="s">
        <v>451</v>
      </c>
      <c r="I9" t="s">
        <v>505</v>
      </c>
      <c r="J9" t="s">
        <v>382</v>
      </c>
    </row>
    <row r="10" spans="1:10" ht="15" customHeight="1" x14ac:dyDescent="0.25">
      <c r="A10" t="s">
        <v>452</v>
      </c>
      <c r="B10" s="3" t="s">
        <v>455</v>
      </c>
      <c r="C10" t="s">
        <v>296</v>
      </c>
      <c r="D10" t="s">
        <v>499</v>
      </c>
      <c r="E10" s="3" t="s">
        <v>454</v>
      </c>
      <c r="F10" t="s">
        <v>453</v>
      </c>
      <c r="G10" t="s">
        <v>456</v>
      </c>
      <c r="H10" t="s">
        <v>457</v>
      </c>
      <c r="I10" t="s">
        <v>505</v>
      </c>
      <c r="J10" t="s">
        <v>296</v>
      </c>
    </row>
  </sheetData>
  <dataValidations count="1">
    <dataValidation type="list" allowBlank="1" showInputMessage="1" showErrorMessage="1" sqref="I1:I1048576" xr:uid="{FFBCD4A7-BD3C-41B7-9CCF-ADCA63746C8F}">
      <formula1>"Online, Offline, Maintenance"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Assets</vt:lpstr>
      <vt:lpstr>Vulnerabilities</vt:lpstr>
      <vt:lpstr>Compliance</vt:lpstr>
      <vt:lpstr>Incidents</vt:lpstr>
      <vt:lpstr>Users</vt:lpstr>
      <vt:lpstr>Services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Abiodun</dc:creator>
  <cp:lastModifiedBy>David Abiodun</cp:lastModifiedBy>
  <cp:lastPrinted>2024-11-09T12:15:45Z</cp:lastPrinted>
  <dcterms:created xsi:type="dcterms:W3CDTF">2024-11-06T21:32:19Z</dcterms:created>
  <dcterms:modified xsi:type="dcterms:W3CDTF">2024-11-11T00:14:55Z</dcterms:modified>
</cp:coreProperties>
</file>